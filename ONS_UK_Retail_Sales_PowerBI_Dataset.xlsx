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Overview_KPIs" sheetId="2" state="visible" r:id="rId4"/>
    <sheet name="Sector_Breakdown" sheetId="3" state="visible" r:id="rId5"/>
    <sheet name="Regional_Comparison" sheetId="4" state="visible" r:id="rId6"/>
    <sheet name="Trend_Forecast" sheetId="5" state="visible" r:id="rId7"/>
    <sheet name="PowerBI_Setup_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<sst xmlns="http://schemas.openxmlformats.org/spreadsheetml/2006/main" count="424" uniqueCount="233">
  <si>
    <t xml:space="preserve">Month</t>
  </si>
  <si>
    <t xml:space="preserve">Food Stores (£m)</t>
  </si>
  <si>
    <t xml:space="preserve">Clothing &amp; Textile (£m)</t>
  </si>
  <si>
    <t xml:space="preserve">Household Goods (£m)</t>
  </si>
  <si>
    <t xml:space="preserve">Online Retail (£m)</t>
  </si>
  <si>
    <t xml:space="preserve">Fuel Stores (£m)</t>
  </si>
  <si>
    <t xml:space="preserve">Total All Sectors (£m)</t>
  </si>
  <si>
    <t xml:space="preserve">Jan-20</t>
  </si>
  <si>
    <t xml:space="preserve">Feb-20</t>
  </si>
  <si>
    <t xml:space="preserve">Mar-20</t>
  </si>
  <si>
    <t xml:space="preserve">Apr-20</t>
  </si>
  <si>
    <t xml:space="preserve">May-20</t>
  </si>
  <si>
    <t xml:space="preserve">Jun-20</t>
  </si>
  <si>
    <t xml:space="preserve">Jul-20</t>
  </si>
  <si>
    <t xml:space="preserve">Aug-20</t>
  </si>
  <si>
    <t xml:space="preserve">Sep-20</t>
  </si>
  <si>
    <t xml:space="preserve">Oct-20</t>
  </si>
  <si>
    <t xml:space="preserve">Nov-20</t>
  </si>
  <si>
    <t xml:space="preserve">Dec-20</t>
  </si>
  <si>
    <t xml:space="preserve">Jan-21</t>
  </si>
  <si>
    <t xml:space="preserve">Feb-21</t>
  </si>
  <si>
    <t xml:space="preserve">Mar-21</t>
  </si>
  <si>
    <t xml:space="preserve">Apr-21</t>
  </si>
  <si>
    <t xml:space="preserve">May-21</t>
  </si>
  <si>
    <t xml:space="preserve">Jun-21</t>
  </si>
  <si>
    <t xml:space="preserve">Jul-21</t>
  </si>
  <si>
    <t xml:space="preserve">Aug-21</t>
  </si>
  <si>
    <t xml:space="preserve">Sep-21</t>
  </si>
  <si>
    <t xml:space="preserve">Oct-21</t>
  </si>
  <si>
    <t xml:space="preserve">Nov-21</t>
  </si>
  <si>
    <t xml:space="preserve">Dec-21</t>
  </si>
  <si>
    <t xml:space="preserve">Jan-22</t>
  </si>
  <si>
    <t xml:space="preserve">Feb-22</t>
  </si>
  <si>
    <t xml:space="preserve">Mar-22</t>
  </si>
  <si>
    <t xml:space="preserve">Apr-22</t>
  </si>
  <si>
    <t xml:space="preserve">May-22</t>
  </si>
  <si>
    <t xml:space="preserve">Jun-22</t>
  </si>
  <si>
    <t xml:space="preserve">Jul-22</t>
  </si>
  <si>
    <t xml:space="preserve">Aug-22</t>
  </si>
  <si>
    <t xml:space="preserve">Sep-22</t>
  </si>
  <si>
    <t xml:space="preserve">Oct-22</t>
  </si>
  <si>
    <t xml:space="preserve">Nov-22</t>
  </si>
  <si>
    <t xml:space="preserve">Dec-22</t>
  </si>
  <si>
    <t xml:space="preserve">Jan-23</t>
  </si>
  <si>
    <t xml:space="preserve">Feb-23</t>
  </si>
  <si>
    <t xml:space="preserve">Mar-23</t>
  </si>
  <si>
    <t xml:space="preserve">Apr-23</t>
  </si>
  <si>
    <t xml:space="preserve">May-23</t>
  </si>
  <si>
    <t xml:space="preserve">Jun-23</t>
  </si>
  <si>
    <t xml:space="preserve">Jul-23</t>
  </si>
  <si>
    <t xml:space="preserve">Aug-23</t>
  </si>
  <si>
    <t xml:space="preserve">Sep-23</t>
  </si>
  <si>
    <t xml:space="preserve">Oct-23</t>
  </si>
  <si>
    <t xml:space="preserve">Nov-23</t>
  </si>
  <si>
    <t xml:space="preserve">Dec-23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</si>
  <si>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</si>
  <si>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</si>
  <si>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</si>
  <si>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</si>
  <si>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</si>
  <si>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</si>
  <si>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</si>
  <si>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</si>
  <si>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</si>
  <si>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</si>
  <si>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</si>
  <si>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</si>
  <si>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UK RETAIL SALES PERFORMANCE TRACKER</t>
  </si>
  <si>
    <t xml:space="preserve">Office for National Statistics (ONS) Retail Sales Index  |  Jan 2020 – Dec 2024  |  Values in £ millions</t>
  </si>
  <si>
    <t xml:space="preserve">KEY PERFORMANCE INDICATORS — FULL PERIOD (2020–2024)</t>
  </si>
  <si>
    <t xml:space="preserve">Total Sales
(All Sectors)</t>
  </si>
  <si>
    <t xml:space="preserve">Food
Stores</t>
  </si>
  <si>
    <t xml:space="preserve">Clothing &amp;
Textile</t>
  </si>
  <si>
    <t xml:space="preserve">Household
Goods</t>
  </si>
  <si>
    <t xml:space="preserve">Online
Retail</t>
  </si>
  <si>
    <t xml:space="preserve">Fuel
Stores</t>
  </si>
  <si>
    <t xml:space="preserve">MONTHLY SALES SUMMARY — ALL SECTORS (£ millions)</t>
  </si>
  <si>
    <t xml:space="preserve">Food Stores</t>
  </si>
  <si>
    <t xml:space="preserve">Clothing</t>
  </si>
  <si>
    <t xml:space="preserve">Household</t>
  </si>
  <si>
    <t xml:space="preserve">Online</t>
  </si>
  <si>
    <t xml:space="preserve">Fuel</t>
  </si>
  <si>
    <t xml:space="preserve">TOTAL</t>
  </si>
  <si>
    <t xml:space="preserve">MoM Change</t>
  </si>
  <si>
    <t xml:space="preserve">MoM %</t>
  </si>
  <si>
    <t xml:space="preserve">YoY Change</t>
  </si>
  <si>
    <t xml:space="preserve">YoY %</t>
  </si>
  <si>
    <t xml:space="preserve">Trend</t>
  </si>
  <si>
    <t xml:space="preserve">SECTOR PERFORMANCE BREAKDOWN</t>
  </si>
  <si>
    <t xml:space="preserve">Annual aggregates, growth rates, and sector share analysis  |  Source: ONS Retail Sales Index</t>
  </si>
  <si>
    <t xml:space="preserve">ANNUAL RETAIL SALES BY SECTOR (£ millions)</t>
  </si>
  <si>
    <t xml:space="preserve">Sector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</si>
  <si>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</si>
  <si>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</si>
  <si>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</si>
  <si>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</si>
  <si>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</si>
  <si>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Growth
20→24</t>
  </si>
  <si>
    <t xml:space="preserve">2024
Share</t>
  </si>
  <si>
    <t xml:space="preserve">Peak
Year</t>
  </si>
  <si>
    <t xml:space="preserve">Trend
Rating</t>
  </si>
  <si>
    <t xml:space="preserve">★★★★☆</t>
  </si>
  <si>
    <t xml:space="preserve">Clothing &amp; Textile</t>
  </si>
  <si>
    <t xml:space="preserve">★★★☆☆</t>
  </si>
  <si>
    <t xml:space="preserve">Household Goods</t>
  </si>
  <si>
    <t xml:space="preserve">Online Retail</t>
  </si>
  <si>
    <t xml:space="preserve">★★★★★</t>
  </si>
  <si>
    <t xml:space="preserve">Fuel Stores</t>
  </si>
  <si>
    <t xml:space="preserve">★★☆☆☆</t>
  </si>
  <si>
    <t xml:space="preserve">ONLINE vs IN-STORE SALES COMPARISON (Post-COVID Analysis)</t>
  </si>
  <si>
    <t xml:space="preserve">Year</t>
  </si>
  <si>
    <t xml:space="preserve">Online (£m)</t>
  </si>
  <si>
    <t xml:space="preserve">In-Store (£m)</t>
  </si>
  <si>
    <t xml:space="preserve">Online %
of Total</t>
  </si>
  <si>
    <t xml:space="preserve">Online
YoY Growth</t>
  </si>
  <si>
    <t xml:space="preserve">In-Store
YoY Growth</t>
  </si>
  <si>
    <t xml:space="preserve">COVID
Impact</t>
  </si>
  <si>
    <t xml:space="preserve">Pre-COVID baseline</t>
  </si>
  <si>
    <t xml:space="preserve">COVID lockdowns — online surge</t>
  </si>
  <si>
    <t xml:space="preserve">Post-COVID normalisation</t>
  </si>
  <si>
    <t xml:space="preserve">Further normalisation</t>
  </si>
  <si>
    <t xml:space="preserve">Stable new equilibrium</t>
  </si>
  <si>
    <t xml:space="preserve">REGIONAL RETAIL SALES COMPARISON</t>
  </si>
  <si>
    <t xml:space="preserve">England  |  Scotland  |  Wales  |  Northern Ireland  —  Quarterly Retail Sales (£ millions)</t>
  </si>
  <si>
    <t xml:space="preserve">QUARTERLY REGIONAL RETAIL SALES DATA (£ millions)</t>
  </si>
  <si>
    <t xml:space="preserve">Quarter</t>
  </si>
  <si>
    <t xml:space="preserve">England (£m)</t>
  </si>
  <si>
    <t xml:space="preserve">Scotland (£m)</t>
  </si>
  <si>
    <t xml:space="preserve">Wales (£m)</t>
  </si>
  <si>
    <t xml:space="preserve">N. Ireland (£m)</t>
  </si>
  <si>
    <t xml:space="preserve">UK Total (£m)</t>
  </si>
  <si>
    <t xml:space="preserve">England %</t>
  </si>
  <si>
    <t xml:space="preserve">Scotland %</t>
  </si>
  <si>
    <t xml:space="preserve">Wales %</t>
  </si>
  <si>
    <t xml:space="preserve">N.Ireland %</t>
  </si>
  <si>
    <t xml:space="preserve">Q1-20</t>
  </si>
  <si>
    <t xml:space="preserve">Q2-20</t>
  </si>
  <si>
    <t xml:space="preserve">Q3-20</t>
  </si>
  <si>
    <t xml:space="preserve">Q4-20</t>
  </si>
  <si>
    <t xml:space="preserve">Q1-21</t>
  </si>
  <si>
    <t xml:space="preserve">Q2-21</t>
  </si>
  <si>
    <t xml:space="preserve">Q3-21</t>
  </si>
  <si>
    <t xml:space="preserve">Q4-21</t>
  </si>
  <si>
    <t xml:space="preserve">Q1-22</t>
  </si>
  <si>
    <t xml:space="preserve">Q2-22</t>
  </si>
  <si>
    <t xml:space="preserve">Q3-22</t>
  </si>
  <si>
    <t xml:space="preserve">Q4-22</t>
  </si>
  <si>
    <t xml:space="preserve">Q1-23</t>
  </si>
  <si>
    <t xml:space="preserve">Q2-23</t>
  </si>
  <si>
    <t xml:space="preserve">Q3-23</t>
  </si>
  <si>
    <t xml:space="preserve">Q4-23</t>
  </si>
  <si>
    <t xml:space="preserve">Q1-24</t>
  </si>
  <si>
    <t xml:space="preserve">Q2-24</t>
  </si>
  <si>
    <t xml:space="preserve">Q3-24</t>
  </si>
  <si>
    <t xml:space="preserve">Q4-24</t>
  </si>
  <si>
    <t xml:space="preserve">REGIONAL SUMMARY — FULL PERIOD TOTALS &amp; AVERAGES</t>
  </si>
  <si>
    <t xml:space="preserve">Metric</t>
  </si>
  <si>
    <t xml:space="preserve">England</t>
  </si>
  <si>
    <t xml:space="preserve">Scotland</t>
  </si>
  <si>
    <t xml:space="preserve">Wales</t>
  </si>
  <si>
    <t xml:space="preserve">N. Ireland</t>
  </si>
  <si>
    <t xml:space="preserve">UK Total</t>
  </si>
  <si>
    <t xml:space="preserve">Total (£m)</t>
  </si>
  <si>
    <t xml:space="preserve">Average Quarterly (£m)</t>
  </si>
  <si>
    <t xml:space="preserve">Max Quarter (£m)</t>
  </si>
  <si>
    <t xml:space="preserve">Min Quarter (£m)</t>
  </si>
  <si>
    <t xml:space="preserve">RETAIL SALES TREND FORECASTING</t>
  </si>
  <si>
    <t xml:space="preserve">12-Month Rolling Average  |  Q1 2025 Forecast  |  Seasonality &amp; Trend Analysis</t>
  </si>
  <si>
    <t xml:space="preserve">FORECAST ASSUMPTIONS (Adjustable Inputs — Blue = User Input)</t>
  </si>
  <si>
    <t xml:space="preserve">Growth Assumption (Annual %)</t>
  </si>
  <si>
    <t xml:space="preserve">← Adjust as needed</t>
  </si>
  <si>
    <t xml:space="preserve">Seasonality Factor — Q4 Uplift</t>
  </si>
  <si>
    <t xml:space="preserve">Inflation Adjustment</t>
  </si>
  <si>
    <t xml:space="preserve">Online Channel Growth Premium</t>
  </si>
  <si>
    <t xml:space="preserve">12-MONTH ROLLING AVERAGE &amp; FORECAST (Total Retail, £ millions)</t>
  </si>
  <si>
    <t xml:space="preserve">Period</t>
  </si>
  <si>
    <t xml:space="preserve">Actual (£m)</t>
  </si>
  <si>
    <t xml:space="preserve">12M Rolling Avg</t>
  </si>
  <si>
    <t xml:space="preserve">3M Avg</t>
  </si>
  <si>
    <t xml:space="preserve">Type</t>
  </si>
  <si>
    <t xml:space="preserve">Base Forecast</t>
  </si>
  <si>
    <t xml:space="preserve">Adj. Forecast</t>
  </si>
  <si>
    <t xml:space="preserve">YoY Forecast %</t>
  </si>
  <si>
    <t xml:space="preserve">Confidence</t>
  </si>
  <si>
    <t xml:space="preserve">Upper Bound</t>
  </si>
  <si>
    <t xml:space="preserve">Lower Bound</t>
  </si>
  <si>
    <t xml:space="preserve">Actual</t>
  </si>
  <si>
    <t xml:space="preserve">Jan-25</t>
  </si>
  <si>
    <t xml:space="preserve">FORECAST</t>
  </si>
  <si>
    <t xml:space="preserve">Medium</t>
  </si>
  <si>
    <t xml:space="preserve">Feb-25</t>
  </si>
  <si>
    <t xml:space="preserve">Mar-25</t>
  </si>
  <si>
    <t xml:space="preserve">POWER BI SETUP GUIDE — UK Retail Sales Dashboard</t>
  </si>
  <si>
    <t xml:space="preserve">STEP 1: IMPORT DATA INTO POWER BI</t>
  </si>
  <si>
    <t xml:space="preserve">1. Open Power BI Desktop → Home → Get Data → Excel Workbook</t>
  </si>
  <si>
    <t xml:space="preserve">2. Select this file and import sheets: Raw_Data, Regional_Comparison, Trend_Forecast</t>
  </si>
  <si>
    <t xml:space="preserve">3. In Power Query: ensure Month column is Date type, numeric columns are Decimal Number</t>
  </si>
  <si>
    <t xml:space="preserve">4. Create a Date table: Modeling → New Table → DateTable = CALENDARAUTO()</t>
  </si>
  <si>
    <t xml:space="preserve">STEP 2: BUILD RELATIONSHIPS</t>
  </si>
  <si>
    <t xml:space="preserve">• Link Raw_Data[Month] → DateTable[Date] (Many-to-One)</t>
  </si>
  <si>
    <t xml:space="preserve">• Link Regional_Comparison[Quarter] → DateTable via calculated quarter column</t>
  </si>
  <si>
    <t xml:space="preserve">STEP 3: PAGE 1 — OVERVIEW (Total Sales KPIs)</t>
  </si>
  <si>
    <t xml:space="preserve">• KPI Card: Total Sales = SUM(Raw_Data[Total All Sectors])</t>
  </si>
  <si>
    <t xml:space="preserve">• KPI Card: MoM Change % = DIVIDE([Current Month] - [Prior Month], [Prior Month])</t>
  </si>
  <si>
    <t xml:space="preserve">• Line Chart: Month on X-axis, Total Sales on Y-axis — add trend line</t>
  </si>
  <si>
    <t xml:space="preserve">• Slicer: Year slicer for filtering 2020–2024</t>
  </si>
  <si>
    <t xml:space="preserve">STEP 4: PAGE 2 — SECTOR BREAKDOWN</t>
  </si>
  <si>
    <t xml:space="preserve">• Clustered Bar Chart: Sector vs Annual Sales — use Sector_Breakdown sheet</t>
  </si>
  <si>
    <t xml:space="preserve">• Donut Chart: 2024 sector share — Food, Clothing, Household, Online, Fuel</t>
  </si>
  <si>
    <t xml:space="preserve">• Line Chart: Online vs In-Store trend 2020–2024 (show COVID impact)</t>
  </si>
  <si>
    <t xml:space="preserve">• Conditional formatting: green = growth, red = decline vs prior year</t>
  </si>
  <si>
    <t xml:space="preserve">STEP 5: PAGE 3 — REGIONAL COMPARISON</t>
  </si>
  <si>
    <t xml:space="preserve">• Map Visual: England/Scotland/Wales/NI with bubble size = sales volume</t>
  </si>
  <si>
    <t xml:space="preserve">• Stacked Bar: Quarterly comparison across all 4 regions</t>
  </si>
  <si>
    <t xml:space="preserve">• Matrix Table: Region × Year with % share columns</t>
  </si>
  <si>
    <t xml:space="preserve">STEP 6: PAGE 4 — TREND FORECASTING</t>
  </si>
  <si>
    <t xml:space="preserve">• Line Chart: Historical actuals + Q1 2025 forecast (use different colour)</t>
  </si>
  <si>
    <t xml:space="preserve">• Add error bars for confidence bounds (Upper/Lower bound columns)</t>
  </si>
  <si>
    <t xml:space="preserve">• Analytics pane: Add forecast line using Power BI built-in forecast</t>
  </si>
  <si>
    <t xml:space="preserve">• KPI Cards: Forecast values for Jan/Feb/Mar 2025</t>
  </si>
  <si>
    <t xml:space="preserve">KEY DAX MEASURES TO CREATE</t>
  </si>
  <si>
    <t xml:space="preserve">Total Sales = SUM(Raw_Data[Total All Sectors (£m)])</t>
  </si>
  <si>
    <t xml:space="preserve">Online Sales = SUM(Raw_Data[Online Retail (£m)])</t>
  </si>
  <si>
    <t xml:space="preserve">MoM Change = [Total Sales] - CALCULATE([Total Sales], DATEADD(DateTable[Date],-1,MONTH))</t>
  </si>
  <si>
    <t xml:space="preserve">MoM % = DIVIDE([MoM Change], CALCULATE([Total Sales], DATEADD(DateTable[Date],-1,MONTH)))</t>
  </si>
  <si>
    <t xml:space="preserve">YoY % = DIVIDE([Total Sales] - CALCULATE([Total Sales],SAMEPERIODLASTYEAR(DateTable[Date])), CALCULATE([Total Sales],SAMEPERIODLASTYEAR(DateTable[Date])))</t>
  </si>
  <si>
    <t xml:space="preserve">Rolling 12M = CALCULATE([Total Sales], DATESINPERIOD(DateTable[Date],LASTDATE(DateTable[Date]),-12,MONTH))</t>
  </si>
  <si>
    <t xml:space="preserve">THEME &amp; DESIGN TIPS</t>
  </si>
  <si>
    <t xml:space="preserve">• Use Power BI theme: Navy blue (#001F3F) primary, Cyan (#00B4D8) accent</t>
  </si>
  <si>
    <t xml:space="preserve">• Font: Segoe UI throughout for clean professional look</t>
  </si>
  <si>
    <t xml:space="preserve">• Add ONS logo/watermark and data source citation on each page</t>
  </si>
  <si>
    <t xml:space="preserve">• Enable cross-filtering between all visuals for interactive exploration</t>
  </si>
  <si>
    <t xml:space="preserve">• Publish to Power BI Service for shareable portfolio link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</si>
</sst>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£#,##0"/>
    <numFmt numFmtId="167" formatCode="\+#,##0;\-#,##0;0"/>
    <numFmt numFmtId="168" formatCode="\+0.0%;\-0.0%;0.0%"/>
    <numFmt numFmtId="169" formatCode="0.0%"/>
    <numFmt numFmtId="170" formatCode="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0"/>
      <color rgb="FF4A5568"/>
      <name val="Calibri"/>
      <family val="0"/>
      <charset val="1"/>
    </font>
    <font>
      <sz val="10"/>
      <color rgb="FF1A202C"/>
      <name val="Calibri"/>
      <family val="0"/>
      <charset val="1"/>
    </font>
    <font>
      <b val="true"/>
      <sz val="10"/>
      <color rgb="FF003566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001F3F"/>
      <name val="Calibri"/>
      <family val="0"/>
      <charset val="1"/>
    </font>
    <font>
      <b val="true"/>
      <sz val="16"/>
      <color rgb="FF00B4D8"/>
      <name val="Calibri"/>
      <family val="0"/>
      <charset val="1"/>
    </font>
    <font>
      <sz val="9"/>
      <color rgb="FF90E0E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4A5568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003566"/>
      <name val="Calibri"/>
      <family val="0"/>
      <charset val="1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sz val="10"/>
      <color rgb="FF2DC653"/>
      <name val="Calibri"/>
      <family val="0"/>
      <charset val="1"/>
    </font>
    <font>
      <sz val="10"/>
      <color rgb="FF4A5568"/>
      <name val="Calibri"/>
      <family val="0"/>
      <charset val="1"/>
    </font>
    <font>
      <sz val="11"/>
      <color rgb="FFFF9F1C"/>
      <name val="Calibri"/>
      <family val="0"/>
      <charset val="1"/>
    </font>
    <font>
      <b val="true"/>
      <sz val="10"/>
      <color rgb="FF001F3F"/>
      <name val="Calibri"/>
      <family val="0"/>
      <charset val="1"/>
    </font>
    <font>
      <b val="true"/>
      <sz val="10"/>
      <color rgb="FF2DC653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B4D8"/>
      <name val="Calibri"/>
      <family val="0"/>
      <charset val="1"/>
    </font>
    <font>
      <i val="true"/>
      <sz val="9"/>
      <color rgb="FF4A5568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i val="true"/>
      <sz val="9"/>
      <color rgb="FFCBD5E0"/>
      <name val="Calibri"/>
      <family val="0"/>
      <charset val="1"/>
    </font>
    <font>
      <sz val="9"/>
      <color rgb="FF1A202C"/>
      <name val="Calibri"/>
      <family val="0"/>
      <charset val="1"/>
    </font>
    <font>
      <sz val="9"/>
      <color rgb="FF2DC653"/>
      <name val="Calibri"/>
      <family val="0"/>
      <charset val="1"/>
    </font>
    <font>
      <sz val="9"/>
      <color rgb="FF4A5568"/>
      <name val="Calibri"/>
      <family val="0"/>
      <charset val="1"/>
    </font>
    <font>
      <sz val="9"/>
      <color rgb="FF00B4D8"/>
      <name val="Calibri"/>
      <family val="0"/>
      <charset val="1"/>
    </font>
    <font>
      <b val="true"/>
      <sz val="9"/>
      <color rgb="FFFF9F1C"/>
      <name val="Calibri"/>
      <family val="0"/>
      <charset val="1"/>
    </font>
    <font>
      <sz val="9"/>
      <color rgb="FFFF9F1C"/>
      <name val="Calibri"/>
      <family val="0"/>
      <charset val="1"/>
    </font>
    <font>
      <sz val="9"/>
      <color rgb="FFEF233C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1F3F"/>
        <bgColor rgb="FF1A202C"/>
      </patternFill>
    </fill>
    <fill>
      <patternFill patternType="solid">
        <fgColor rgb="FFF0F4F8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003566"/>
        <bgColor rgb="FF001F3F"/>
      </patternFill>
    </fill>
    <fill>
      <patternFill patternType="solid">
        <fgColor rgb="FF00B4D8"/>
        <bgColor rgb="FF33CCCC"/>
      </patternFill>
    </fill>
    <fill>
      <patternFill patternType="solid">
        <fgColor rgb="FF4A5568"/>
        <bgColor rgb="FF333399"/>
      </patternFill>
    </fill>
    <fill>
      <patternFill patternType="solid">
        <fgColor rgb="FFFFFF99"/>
        <bgColor rgb="FFFFF9E6"/>
      </patternFill>
    </fill>
    <fill>
      <patternFill patternType="solid">
        <fgColor rgb="FFFFF9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3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6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3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F233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F0F4F8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0E0EF"/>
      <rgbColor rgb="FFFF99CC"/>
      <rgbColor rgb="FFCC99FF"/>
      <rgbColor rgb="FFFFCC99"/>
      <rgbColor rgb="FF3366FF"/>
      <rgbColor rgb="FF33CCCC"/>
      <rgbColor rgb="FF99CC00"/>
      <rgbColor rgb="FFFFCC00"/>
      <rgbColor rgb="FFFF9F1C"/>
      <rgbColor rgb="FFFF6600"/>
      <rgbColor rgb="FF4A5568"/>
      <rgbColor rgb="FF969696"/>
      <rgbColor rgb="FF003566"/>
      <rgbColor rgb="FF2DC653"/>
      <rgbColor rgb="FF001F3F"/>
      <rgbColor rgb="FF333300"/>
      <rgbColor rgb="FF993300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7200</v>
      </c>
      <c r="C2" s="3" t="n">
        <v>1800</v>
      </c>
      <c r="D2" s="3" t="n">
        <v>1200</v>
      </c>
      <c r="E2" s="3" t="n">
        <v>1900</v>
      </c>
      <c r="F2" s="3" t="n">
        <v>2200</v>
      </c>
      <c r="G2" s="4" t="n">
        <f aca="false">SUM(B2:F2)</f>
        <v>14300</v>
      </c>
    </row>
    <row r="3" customFormat="false" ht="15" hidden="false" customHeight="false" outlineLevel="0" collapsed="false">
      <c r="A3" s="5" t="s">
        <v>8</v>
      </c>
      <c r="B3" s="6" t="n">
        <v>7100</v>
      </c>
      <c r="C3" s="6" t="n">
        <v>1750</v>
      </c>
      <c r="D3" s="6" t="n">
        <v>1150</v>
      </c>
      <c r="E3" s="6" t="n">
        <v>1950</v>
      </c>
      <c r="F3" s="6" t="n">
        <v>2100</v>
      </c>
      <c r="G3" s="7" t="n">
        <f aca="false">SUM(B3:F3)</f>
        <v>14050</v>
      </c>
    </row>
    <row r="4" customFormat="false" ht="15" hidden="false" customHeight="false" outlineLevel="0" collapsed="false">
      <c r="A4" s="2" t="s">
        <v>9</v>
      </c>
      <c r="B4" s="3" t="n">
        <v>7800</v>
      </c>
      <c r="C4" s="3" t="n">
        <v>1200</v>
      </c>
      <c r="D4" s="3" t="n">
        <v>900</v>
      </c>
      <c r="E4" s="3" t="n">
        <v>2400</v>
      </c>
      <c r="F4" s="3" t="n">
        <v>1800</v>
      </c>
      <c r="G4" s="4" t="n">
        <f aca="false">SUM(B4:F4)</f>
        <v>14100</v>
      </c>
    </row>
    <row r="5" customFormat="false" ht="15" hidden="false" customHeight="false" outlineLevel="0" collapsed="false">
      <c r="A5" s="5" t="s">
        <v>10</v>
      </c>
      <c r="B5" s="6" t="n">
        <v>6900</v>
      </c>
      <c r="C5" s="6" t="n">
        <v>400</v>
      </c>
      <c r="D5" s="6" t="n">
        <v>700</v>
      </c>
      <c r="E5" s="6" t="n">
        <v>4200</v>
      </c>
      <c r="F5" s="6" t="n">
        <v>1000</v>
      </c>
      <c r="G5" s="7" t="n">
        <f aca="false">SUM(B5:F5)</f>
        <v>13200</v>
      </c>
    </row>
    <row r="6" customFormat="false" ht="15" hidden="false" customHeight="false" outlineLevel="0" collapsed="false">
      <c r="A6" s="2" t="s">
        <v>11</v>
      </c>
      <c r="B6" s="3" t="n">
        <v>7300</v>
      </c>
      <c r="C6" s="3" t="n">
        <v>900</v>
      </c>
      <c r="D6" s="3" t="n">
        <v>1100</v>
      </c>
      <c r="E6" s="3" t="n">
        <v>4100</v>
      </c>
      <c r="F6" s="3" t="n">
        <v>1200</v>
      </c>
      <c r="G6" s="4" t="n">
        <f aca="false">SUM(B6:F6)</f>
        <v>14600</v>
      </c>
    </row>
    <row r="7" customFormat="false" ht="15" hidden="false" customHeight="false" outlineLevel="0" collapsed="false">
      <c r="A7" s="5" t="s">
        <v>12</v>
      </c>
      <c r="B7" s="6" t="n">
        <v>7500</v>
      </c>
      <c r="C7" s="6" t="n">
        <v>1700</v>
      </c>
      <c r="D7" s="6" t="n">
        <v>1500</v>
      </c>
      <c r="E7" s="6" t="n">
        <v>3800</v>
      </c>
      <c r="F7" s="6" t="n">
        <v>1900</v>
      </c>
      <c r="G7" s="7" t="n">
        <f aca="false">SUM(B7:F7)</f>
        <v>16400</v>
      </c>
    </row>
    <row r="8" customFormat="false" ht="15" hidden="false" customHeight="false" outlineLevel="0" collapsed="false">
      <c r="A8" s="2" t="s">
        <v>13</v>
      </c>
      <c r="B8" s="3" t="n">
        <v>7600</v>
      </c>
      <c r="C8" s="3" t="n">
        <v>1900</v>
      </c>
      <c r="D8" s="3" t="n">
        <v>1700</v>
      </c>
      <c r="E8" s="3" t="n">
        <v>3600</v>
      </c>
      <c r="F8" s="3" t="n">
        <v>2100</v>
      </c>
      <c r="G8" s="4" t="n">
        <f aca="false">SUM(B8:F8)</f>
        <v>16900</v>
      </c>
    </row>
    <row r="9" customFormat="false" ht="15" hidden="false" customHeight="false" outlineLevel="0" collapsed="false">
      <c r="A9" s="5" t="s">
        <v>14</v>
      </c>
      <c r="B9" s="6" t="n">
        <v>7700</v>
      </c>
      <c r="C9" s="6" t="n">
        <v>2000</v>
      </c>
      <c r="D9" s="6" t="n">
        <v>1800</v>
      </c>
      <c r="E9" s="6" t="n">
        <v>3500</v>
      </c>
      <c r="F9" s="6" t="n">
        <v>2200</v>
      </c>
      <c r="G9" s="7" t="n">
        <f aca="false">SUM(B9:F9)</f>
        <v>17200</v>
      </c>
    </row>
    <row r="10" customFormat="false" ht="15" hidden="false" customHeight="false" outlineLevel="0" collapsed="false">
      <c r="A10" s="2" t="s">
        <v>15</v>
      </c>
      <c r="B10" s="3" t="n">
        <v>7800</v>
      </c>
      <c r="C10" s="3" t="n">
        <v>1850</v>
      </c>
      <c r="D10" s="3" t="n">
        <v>1750</v>
      </c>
      <c r="E10" s="3" t="n">
        <v>3400</v>
      </c>
      <c r="F10" s="3" t="n">
        <v>2100</v>
      </c>
      <c r="G10" s="4" t="n">
        <f aca="false">SUM(B10:F10)</f>
        <v>16900</v>
      </c>
    </row>
    <row r="11" customFormat="false" ht="15" hidden="false" customHeight="false" outlineLevel="0" collapsed="false">
      <c r="A11" s="5" t="s">
        <v>16</v>
      </c>
      <c r="B11" s="6" t="n">
        <v>7900</v>
      </c>
      <c r="C11" s="6" t="n">
        <v>1900</v>
      </c>
      <c r="D11" s="6" t="n">
        <v>1800</v>
      </c>
      <c r="E11" s="6" t="n">
        <v>3600</v>
      </c>
      <c r="F11" s="6" t="n">
        <v>2000</v>
      </c>
      <c r="G11" s="7" t="n">
        <f aca="false">SUM(B11:F11)</f>
        <v>17200</v>
      </c>
    </row>
    <row r="12" customFormat="false" ht="15" hidden="false" customHeight="false" outlineLevel="0" collapsed="false">
      <c r="A12" s="2" t="s">
        <v>17</v>
      </c>
      <c r="B12" s="3" t="n">
        <v>8100</v>
      </c>
      <c r="C12" s="3" t="n">
        <v>600</v>
      </c>
      <c r="D12" s="3" t="n">
        <v>1600</v>
      </c>
      <c r="E12" s="3" t="n">
        <v>4200</v>
      </c>
      <c r="F12" s="3" t="n">
        <v>1900</v>
      </c>
      <c r="G12" s="4" t="n">
        <f aca="false">SUM(B12:F12)</f>
        <v>16400</v>
      </c>
    </row>
    <row r="13" customFormat="false" ht="15" hidden="false" customHeight="false" outlineLevel="0" collapsed="false">
      <c r="A13" s="5" t="s">
        <v>18</v>
      </c>
      <c r="B13" s="6" t="n">
        <v>9200</v>
      </c>
      <c r="C13" s="6" t="n">
        <v>2200</v>
      </c>
      <c r="D13" s="6" t="n">
        <v>2100</v>
      </c>
      <c r="E13" s="6" t="n">
        <v>4800</v>
      </c>
      <c r="F13" s="6" t="n">
        <v>2100</v>
      </c>
      <c r="G13" s="7" t="n">
        <f aca="false">SUM(B13:F13)</f>
        <v>20400</v>
      </c>
    </row>
    <row r="14" customFormat="false" ht="15" hidden="false" customHeight="false" outlineLevel="0" collapsed="false">
      <c r="A14" s="2" t="s">
        <v>19</v>
      </c>
      <c r="B14" s="3" t="n">
        <v>7900</v>
      </c>
      <c r="C14" s="3" t="n">
        <v>900</v>
      </c>
      <c r="D14" s="3" t="n">
        <v>1400</v>
      </c>
      <c r="E14" s="3" t="n">
        <v>4500</v>
      </c>
      <c r="F14" s="3" t="n">
        <v>1600</v>
      </c>
      <c r="G14" s="4" t="n">
        <f aca="false">SUM(B14:F14)</f>
        <v>16300</v>
      </c>
    </row>
    <row r="15" customFormat="false" ht="15" hidden="false" customHeight="false" outlineLevel="0" collapsed="false">
      <c r="A15" s="5" t="s">
        <v>20</v>
      </c>
      <c r="B15" s="6" t="n">
        <v>7600</v>
      </c>
      <c r="C15" s="6" t="n">
        <v>800</v>
      </c>
      <c r="D15" s="6" t="n">
        <v>1300</v>
      </c>
      <c r="E15" s="6" t="n">
        <v>4400</v>
      </c>
      <c r="F15" s="6" t="n">
        <v>1500</v>
      </c>
      <c r="G15" s="7" t="n">
        <f aca="false">SUM(B15:F15)</f>
        <v>15600</v>
      </c>
    </row>
    <row r="16" customFormat="false" ht="15" hidden="false" customHeight="false" outlineLevel="0" collapsed="false">
      <c r="A16" s="2" t="s">
        <v>21</v>
      </c>
      <c r="B16" s="3" t="n">
        <v>7800</v>
      </c>
      <c r="C16" s="3" t="n">
        <v>1000</v>
      </c>
      <c r="D16" s="3" t="n">
        <v>1500</v>
      </c>
      <c r="E16" s="3" t="n">
        <v>4200</v>
      </c>
      <c r="F16" s="3" t="n">
        <v>1700</v>
      </c>
      <c r="G16" s="4" t="n">
        <f aca="false">SUM(B16:F16)</f>
        <v>16200</v>
      </c>
    </row>
    <row r="17" customFormat="false" ht="15" hidden="false" customHeight="false" outlineLevel="0" collapsed="false">
      <c r="A17" s="5" t="s">
        <v>22</v>
      </c>
      <c r="B17" s="6" t="n">
        <v>7200</v>
      </c>
      <c r="C17" s="6" t="n">
        <v>1400</v>
      </c>
      <c r="D17" s="6" t="n">
        <v>1600</v>
      </c>
      <c r="E17" s="6" t="n">
        <v>4000</v>
      </c>
      <c r="F17" s="6" t="n">
        <v>1800</v>
      </c>
      <c r="G17" s="7" t="n">
        <f aca="false">SUM(B17:F17)</f>
        <v>16000</v>
      </c>
    </row>
    <row r="18" customFormat="false" ht="15" hidden="false" customHeight="false" outlineLevel="0" collapsed="false">
      <c r="A18" s="2" t="s">
        <v>23</v>
      </c>
      <c r="B18" s="3" t="n">
        <v>7800</v>
      </c>
      <c r="C18" s="3" t="n">
        <v>1900</v>
      </c>
      <c r="D18" s="3" t="n">
        <v>1900</v>
      </c>
      <c r="E18" s="3" t="n">
        <v>3800</v>
      </c>
      <c r="F18" s="3" t="n">
        <v>2000</v>
      </c>
      <c r="G18" s="4" t="n">
        <f aca="false">SUM(B18:F18)</f>
        <v>17400</v>
      </c>
    </row>
    <row r="19" customFormat="false" ht="15" hidden="false" customHeight="false" outlineLevel="0" collapsed="false">
      <c r="A19" s="5" t="s">
        <v>24</v>
      </c>
      <c r="B19" s="6" t="n">
        <v>8100</v>
      </c>
      <c r="C19" s="6" t="n">
        <v>2100</v>
      </c>
      <c r="D19" s="6" t="n">
        <v>2000</v>
      </c>
      <c r="E19" s="6" t="n">
        <v>3600</v>
      </c>
      <c r="F19" s="6" t="n">
        <v>2100</v>
      </c>
      <c r="G19" s="7" t="n">
        <f aca="false">SUM(B19:F19)</f>
        <v>17900</v>
      </c>
    </row>
    <row r="20" customFormat="false" ht="15" hidden="false" customHeight="false" outlineLevel="0" collapsed="false">
      <c r="A20" s="2" t="s">
        <v>25</v>
      </c>
      <c r="B20" s="3" t="n">
        <v>8300</v>
      </c>
      <c r="C20" s="3" t="n">
        <v>2200</v>
      </c>
      <c r="D20" s="3" t="n">
        <v>2100</v>
      </c>
      <c r="E20" s="3" t="n">
        <v>3400</v>
      </c>
      <c r="F20" s="3" t="n">
        <v>2200</v>
      </c>
      <c r="G20" s="4" t="n">
        <f aca="false">SUM(B20:F20)</f>
        <v>18200</v>
      </c>
    </row>
    <row r="21" customFormat="false" ht="15" hidden="false" customHeight="false" outlineLevel="0" collapsed="false">
      <c r="A21" s="5" t="s">
        <v>26</v>
      </c>
      <c r="B21" s="6" t="n">
        <v>8500</v>
      </c>
      <c r="C21" s="6" t="n">
        <v>2100</v>
      </c>
      <c r="D21" s="6" t="n">
        <v>2200</v>
      </c>
      <c r="E21" s="6" t="n">
        <v>3300</v>
      </c>
      <c r="F21" s="6" t="n">
        <v>2300</v>
      </c>
      <c r="G21" s="7" t="n">
        <f aca="false">SUM(B21:F21)</f>
        <v>18400</v>
      </c>
    </row>
    <row r="22" customFormat="false" ht="15" hidden="false" customHeight="false" outlineLevel="0" collapsed="false">
      <c r="A22" s="2" t="s">
        <v>27</v>
      </c>
      <c r="B22" s="3" t="n">
        <v>8400</v>
      </c>
      <c r="C22" s="3" t="n">
        <v>1950</v>
      </c>
      <c r="D22" s="3" t="n">
        <v>2100</v>
      </c>
      <c r="E22" s="3" t="n">
        <v>3200</v>
      </c>
      <c r="F22" s="3" t="n">
        <v>2200</v>
      </c>
      <c r="G22" s="4" t="n">
        <f aca="false">SUM(B22:F22)</f>
        <v>17850</v>
      </c>
    </row>
    <row r="23" customFormat="false" ht="15" hidden="false" customHeight="false" outlineLevel="0" collapsed="false">
      <c r="A23" s="5" t="s">
        <v>28</v>
      </c>
      <c r="B23" s="6" t="n">
        <v>8600</v>
      </c>
      <c r="C23" s="6" t="n">
        <v>2000</v>
      </c>
      <c r="D23" s="6" t="n">
        <v>2100</v>
      </c>
      <c r="E23" s="6" t="n">
        <v>3300</v>
      </c>
      <c r="F23" s="6" t="n">
        <v>2200</v>
      </c>
      <c r="G23" s="7" t="n">
        <f aca="false">SUM(B23:F23)</f>
        <v>18200</v>
      </c>
    </row>
    <row r="24" customFormat="false" ht="15" hidden="false" customHeight="false" outlineLevel="0" collapsed="false">
      <c r="A24" s="2" t="s">
        <v>29</v>
      </c>
      <c r="B24" s="3" t="n">
        <v>8900</v>
      </c>
      <c r="C24" s="3" t="n">
        <v>700</v>
      </c>
      <c r="D24" s="3" t="n">
        <v>1900</v>
      </c>
      <c r="E24" s="3" t="n">
        <v>3900</v>
      </c>
      <c r="F24" s="3" t="n">
        <v>2100</v>
      </c>
      <c r="G24" s="4" t="n">
        <f aca="false">SUM(B24:F24)</f>
        <v>17500</v>
      </c>
    </row>
    <row r="25" customFormat="false" ht="15" hidden="false" customHeight="false" outlineLevel="0" collapsed="false">
      <c r="A25" s="5" t="s">
        <v>30</v>
      </c>
      <c r="B25" s="6" t="n">
        <v>9800</v>
      </c>
      <c r="C25" s="6" t="n">
        <v>2400</v>
      </c>
      <c r="D25" s="6" t="n">
        <v>2500</v>
      </c>
      <c r="E25" s="6" t="n">
        <v>4600</v>
      </c>
      <c r="F25" s="6" t="n">
        <v>2200</v>
      </c>
      <c r="G25" s="7" t="n">
        <f aca="false">SUM(B25:F25)</f>
        <v>21500</v>
      </c>
    </row>
    <row r="26" customFormat="false" ht="15" hidden="false" customHeight="false" outlineLevel="0" collapsed="false">
      <c r="A26" s="2" t="s">
        <v>31</v>
      </c>
      <c r="B26" s="3" t="n">
        <v>8200</v>
      </c>
      <c r="C26" s="3" t="n">
        <v>2000</v>
      </c>
      <c r="D26" s="3" t="n">
        <v>1600</v>
      </c>
      <c r="E26" s="3" t="n">
        <v>3800</v>
      </c>
      <c r="F26" s="3" t="n">
        <v>2400</v>
      </c>
      <c r="G26" s="4" t="n">
        <f aca="false">SUM(B26:F26)</f>
        <v>18000</v>
      </c>
    </row>
    <row r="27" customFormat="false" ht="15" hidden="false" customHeight="false" outlineLevel="0" collapsed="false">
      <c r="A27" s="5" t="s">
        <v>32</v>
      </c>
      <c r="B27" s="6" t="n">
        <v>8000</v>
      </c>
      <c r="C27" s="6" t="n">
        <v>1900</v>
      </c>
      <c r="D27" s="6" t="n">
        <v>1550</v>
      </c>
      <c r="E27" s="6" t="n">
        <v>3700</v>
      </c>
      <c r="F27" s="6" t="n">
        <v>2300</v>
      </c>
      <c r="G27" s="7" t="n">
        <f aca="false">SUM(B27:F27)</f>
        <v>17450</v>
      </c>
    </row>
    <row r="28" customFormat="false" ht="15" hidden="false" customHeight="false" outlineLevel="0" collapsed="false">
      <c r="A28" s="2" t="s">
        <v>33</v>
      </c>
      <c r="B28" s="3" t="n">
        <v>8300</v>
      </c>
      <c r="C28" s="3" t="n">
        <v>2100</v>
      </c>
      <c r="D28" s="3" t="n">
        <v>1700</v>
      </c>
      <c r="E28" s="3" t="n">
        <v>3600</v>
      </c>
      <c r="F28" s="3" t="n">
        <v>2500</v>
      </c>
      <c r="G28" s="4" t="n">
        <f aca="false">SUM(B28:F28)</f>
        <v>18200</v>
      </c>
    </row>
    <row r="29" customFormat="false" ht="15" hidden="false" customHeight="false" outlineLevel="0" collapsed="false">
      <c r="A29" s="5" t="s">
        <v>34</v>
      </c>
      <c r="B29" s="6" t="n">
        <v>8100</v>
      </c>
      <c r="C29" s="6" t="n">
        <v>2000</v>
      </c>
      <c r="D29" s="6" t="n">
        <v>1700</v>
      </c>
      <c r="E29" s="6" t="n">
        <v>3500</v>
      </c>
      <c r="F29" s="6" t="n">
        <v>2700</v>
      </c>
      <c r="G29" s="7" t="n">
        <f aca="false">SUM(B29:F29)</f>
        <v>18000</v>
      </c>
    </row>
    <row r="30" customFormat="false" ht="15" hidden="false" customHeight="false" outlineLevel="0" collapsed="false">
      <c r="A30" s="2" t="s">
        <v>35</v>
      </c>
      <c r="B30" s="3" t="n">
        <v>8600</v>
      </c>
      <c r="C30" s="3" t="n">
        <v>2200</v>
      </c>
      <c r="D30" s="3" t="n">
        <v>1900</v>
      </c>
      <c r="E30" s="3" t="n">
        <v>3400</v>
      </c>
      <c r="F30" s="3" t="n">
        <v>3000</v>
      </c>
      <c r="G30" s="4" t="n">
        <f aca="false">SUM(B30:F30)</f>
        <v>19100</v>
      </c>
    </row>
    <row r="31" customFormat="false" ht="15" hidden="false" customHeight="false" outlineLevel="0" collapsed="false">
      <c r="A31" s="5" t="s">
        <v>36</v>
      </c>
      <c r="B31" s="6" t="n">
        <v>8700</v>
      </c>
      <c r="C31" s="6" t="n">
        <v>2300</v>
      </c>
      <c r="D31" s="6" t="n">
        <v>1950</v>
      </c>
      <c r="E31" s="6" t="n">
        <v>3300</v>
      </c>
      <c r="F31" s="6" t="n">
        <v>3100</v>
      </c>
      <c r="G31" s="7" t="n">
        <f aca="false">SUM(B31:F31)</f>
        <v>19350</v>
      </c>
    </row>
    <row r="32" customFormat="false" ht="15" hidden="false" customHeight="false" outlineLevel="0" collapsed="false">
      <c r="A32" s="2" t="s">
        <v>37</v>
      </c>
      <c r="B32" s="3" t="n">
        <v>8900</v>
      </c>
      <c r="C32" s="3" t="n">
        <v>2400</v>
      </c>
      <c r="D32" s="3" t="n">
        <v>2000</v>
      </c>
      <c r="E32" s="3" t="n">
        <v>3200</v>
      </c>
      <c r="F32" s="3" t="n">
        <v>3200</v>
      </c>
      <c r="G32" s="4" t="n">
        <f aca="false">SUM(B32:F32)</f>
        <v>19700</v>
      </c>
    </row>
    <row r="33" customFormat="false" ht="15" hidden="false" customHeight="false" outlineLevel="0" collapsed="false">
      <c r="A33" s="5" t="s">
        <v>38</v>
      </c>
      <c r="B33" s="6" t="n">
        <v>9100</v>
      </c>
      <c r="C33" s="6" t="n">
        <v>2200</v>
      </c>
      <c r="D33" s="6" t="n">
        <v>2000</v>
      </c>
      <c r="E33" s="6" t="n">
        <v>3200</v>
      </c>
      <c r="F33" s="6" t="n">
        <v>3300</v>
      </c>
      <c r="G33" s="7" t="n">
        <f aca="false">SUM(B33:F33)</f>
        <v>19800</v>
      </c>
    </row>
    <row r="34" customFormat="false" ht="15" hidden="false" customHeight="false" outlineLevel="0" collapsed="false">
      <c r="A34" s="2" t="s">
        <v>39</v>
      </c>
      <c r="B34" s="3" t="n">
        <v>9000</v>
      </c>
      <c r="C34" s="3" t="n">
        <v>2100</v>
      </c>
      <c r="D34" s="3" t="n">
        <v>1900</v>
      </c>
      <c r="E34" s="3" t="n">
        <v>3100</v>
      </c>
      <c r="F34" s="3" t="n">
        <v>3100</v>
      </c>
      <c r="G34" s="4" t="n">
        <f aca="false">SUM(B34:F34)</f>
        <v>19200</v>
      </c>
    </row>
    <row r="35" customFormat="false" ht="15" hidden="false" customHeight="false" outlineLevel="0" collapsed="false">
      <c r="A35" s="5" t="s">
        <v>40</v>
      </c>
      <c r="B35" s="6" t="n">
        <v>9200</v>
      </c>
      <c r="C35" s="6" t="n">
        <v>2100</v>
      </c>
      <c r="D35" s="6" t="n">
        <v>1900</v>
      </c>
      <c r="E35" s="6" t="n">
        <v>3200</v>
      </c>
      <c r="F35" s="6" t="n">
        <v>3000</v>
      </c>
      <c r="G35" s="7" t="n">
        <f aca="false">SUM(B35:F35)</f>
        <v>19400</v>
      </c>
    </row>
    <row r="36" customFormat="false" ht="15" hidden="false" customHeight="false" outlineLevel="0" collapsed="false">
      <c r="A36" s="2" t="s">
        <v>41</v>
      </c>
      <c r="B36" s="3" t="n">
        <v>9300</v>
      </c>
      <c r="C36" s="3" t="n">
        <v>800</v>
      </c>
      <c r="D36" s="3" t="n">
        <v>1750</v>
      </c>
      <c r="E36" s="3" t="n">
        <v>3800</v>
      </c>
      <c r="F36" s="3" t="n">
        <v>2900</v>
      </c>
      <c r="G36" s="4" t="n">
        <f aca="false">SUM(B36:F36)</f>
        <v>18550</v>
      </c>
    </row>
    <row r="37" customFormat="false" ht="15" hidden="false" customHeight="false" outlineLevel="0" collapsed="false">
      <c r="A37" s="5" t="s">
        <v>42</v>
      </c>
      <c r="B37" s="6" t="n">
        <v>10100</v>
      </c>
      <c r="C37" s="6" t="n">
        <v>2600</v>
      </c>
      <c r="D37" s="6" t="n">
        <v>2300</v>
      </c>
      <c r="E37" s="6" t="n">
        <v>4400</v>
      </c>
      <c r="F37" s="6" t="n">
        <v>2800</v>
      </c>
      <c r="G37" s="7" t="n">
        <f aca="false">SUM(B37:F37)</f>
        <v>22200</v>
      </c>
    </row>
    <row r="38" customFormat="false" ht="15" hidden="false" customHeight="false" outlineLevel="0" collapsed="false">
      <c r="A38" s="2" t="s">
        <v>43</v>
      </c>
      <c r="B38" s="3" t="n">
        <v>8500</v>
      </c>
      <c r="C38" s="3" t="n">
        <v>2100</v>
      </c>
      <c r="D38" s="3" t="n">
        <v>1650</v>
      </c>
      <c r="E38" s="3" t="n">
        <v>3600</v>
      </c>
      <c r="F38" s="3" t="n">
        <v>2600</v>
      </c>
      <c r="G38" s="4" t="n">
        <f aca="false">SUM(B38:F38)</f>
        <v>18450</v>
      </c>
    </row>
    <row r="39" customFormat="false" ht="15" hidden="false" customHeight="false" outlineLevel="0" collapsed="false">
      <c r="A39" s="5" t="s">
        <v>44</v>
      </c>
      <c r="B39" s="6" t="n">
        <v>8300</v>
      </c>
      <c r="C39" s="6" t="n">
        <v>2000</v>
      </c>
      <c r="D39" s="6" t="n">
        <v>1600</v>
      </c>
      <c r="E39" s="6" t="n">
        <v>3500</v>
      </c>
      <c r="F39" s="6" t="n">
        <v>2500</v>
      </c>
      <c r="G39" s="7" t="n">
        <f aca="false">SUM(B39:F39)</f>
        <v>17900</v>
      </c>
    </row>
    <row r="40" customFormat="false" ht="15" hidden="false" customHeight="false" outlineLevel="0" collapsed="false">
      <c r="A40" s="2" t="s">
        <v>45</v>
      </c>
      <c r="B40" s="3" t="n">
        <v>8600</v>
      </c>
      <c r="C40" s="3" t="n">
        <v>2200</v>
      </c>
      <c r="D40" s="3" t="n">
        <v>1750</v>
      </c>
      <c r="E40" s="3" t="n">
        <v>3500</v>
      </c>
      <c r="F40" s="3" t="n">
        <v>2600</v>
      </c>
      <c r="G40" s="4" t="n">
        <f aca="false">SUM(B40:F40)</f>
        <v>18650</v>
      </c>
    </row>
    <row r="41" customFormat="false" ht="15" hidden="false" customHeight="false" outlineLevel="0" collapsed="false">
      <c r="A41" s="5" t="s">
        <v>46</v>
      </c>
      <c r="B41" s="6" t="n">
        <v>8400</v>
      </c>
      <c r="C41" s="6" t="n">
        <v>2100</v>
      </c>
      <c r="D41" s="6" t="n">
        <v>1750</v>
      </c>
      <c r="E41" s="6" t="n">
        <v>3400</v>
      </c>
      <c r="F41" s="6" t="n">
        <v>2600</v>
      </c>
      <c r="G41" s="7" t="n">
        <f aca="false">SUM(B41:F41)</f>
        <v>18250</v>
      </c>
    </row>
    <row r="42" customFormat="false" ht="15" hidden="false" customHeight="false" outlineLevel="0" collapsed="false">
      <c r="A42" s="2" t="s">
        <v>47</v>
      </c>
      <c r="B42" s="3" t="n">
        <v>8900</v>
      </c>
      <c r="C42" s="3" t="n">
        <v>2300</v>
      </c>
      <c r="D42" s="3" t="n">
        <v>1950</v>
      </c>
      <c r="E42" s="3" t="n">
        <v>3400</v>
      </c>
      <c r="F42" s="3" t="n">
        <v>2700</v>
      </c>
      <c r="G42" s="4" t="n">
        <f aca="false">SUM(B42:F42)</f>
        <v>19250</v>
      </c>
    </row>
    <row r="43" customFormat="false" ht="15" hidden="false" customHeight="false" outlineLevel="0" collapsed="false">
      <c r="A43" s="5" t="s">
        <v>48</v>
      </c>
      <c r="B43" s="6" t="n">
        <v>9000</v>
      </c>
      <c r="C43" s="6" t="n">
        <v>2400</v>
      </c>
      <c r="D43" s="6" t="n">
        <v>2000</v>
      </c>
      <c r="E43" s="6" t="n">
        <v>3300</v>
      </c>
      <c r="F43" s="6" t="n">
        <v>2800</v>
      </c>
      <c r="G43" s="7" t="n">
        <f aca="false">SUM(B43:F43)</f>
        <v>19500</v>
      </c>
    </row>
    <row r="44" customFormat="false" ht="15" hidden="false" customHeight="false" outlineLevel="0" collapsed="false">
      <c r="A44" s="2" t="s">
        <v>49</v>
      </c>
      <c r="B44" s="3" t="n">
        <v>9200</v>
      </c>
      <c r="C44" s="3" t="n">
        <v>2500</v>
      </c>
      <c r="D44" s="3" t="n">
        <v>2050</v>
      </c>
      <c r="E44" s="3" t="n">
        <v>3200</v>
      </c>
      <c r="F44" s="3" t="n">
        <v>2900</v>
      </c>
      <c r="G44" s="4" t="n">
        <f aca="false">SUM(B44:F44)</f>
        <v>19850</v>
      </c>
    </row>
    <row r="45" customFormat="false" ht="15" hidden="false" customHeight="false" outlineLevel="0" collapsed="false">
      <c r="A45" s="5" t="s">
        <v>50</v>
      </c>
      <c r="B45" s="6" t="n">
        <v>9400</v>
      </c>
      <c r="C45" s="6" t="n">
        <v>2300</v>
      </c>
      <c r="D45" s="6" t="n">
        <v>2050</v>
      </c>
      <c r="E45" s="6" t="n">
        <v>3200</v>
      </c>
      <c r="F45" s="6" t="n">
        <v>3000</v>
      </c>
      <c r="G45" s="7" t="n">
        <f aca="false">SUM(B45:F45)</f>
        <v>19950</v>
      </c>
    </row>
    <row r="46" customFormat="false" ht="15" hidden="false" customHeight="false" outlineLevel="0" collapsed="false">
      <c r="A46" s="2" t="s">
        <v>51</v>
      </c>
      <c r="B46" s="3" t="n">
        <v>9300</v>
      </c>
      <c r="C46" s="3" t="n">
        <v>2200</v>
      </c>
      <c r="D46" s="3" t="n">
        <v>1950</v>
      </c>
      <c r="E46" s="3" t="n">
        <v>3100</v>
      </c>
      <c r="F46" s="3" t="n">
        <v>2900</v>
      </c>
      <c r="G46" s="4" t="n">
        <f aca="false">SUM(B46:F46)</f>
        <v>19450</v>
      </c>
    </row>
    <row r="47" customFormat="false" ht="15" hidden="false" customHeight="false" outlineLevel="0" collapsed="false">
      <c r="A47" s="5" t="s">
        <v>52</v>
      </c>
      <c r="B47" s="6" t="n">
        <v>9500</v>
      </c>
      <c r="C47" s="6" t="n">
        <v>2200</v>
      </c>
      <c r="D47" s="6" t="n">
        <v>1950</v>
      </c>
      <c r="E47" s="6" t="n">
        <v>3200</v>
      </c>
      <c r="F47" s="6" t="n">
        <v>2800</v>
      </c>
      <c r="G47" s="7" t="n">
        <f aca="false">SUM(B47:F47)</f>
        <v>19650</v>
      </c>
    </row>
    <row r="48" customFormat="false" ht="15" hidden="false" customHeight="false" outlineLevel="0" collapsed="false">
      <c r="A48" s="2" t="s">
        <v>53</v>
      </c>
      <c r="B48" s="3" t="n">
        <v>9600</v>
      </c>
      <c r="C48" s="3" t="n">
        <v>850</v>
      </c>
      <c r="D48" s="3" t="n">
        <v>1800</v>
      </c>
      <c r="E48" s="3" t="n">
        <v>3700</v>
      </c>
      <c r="F48" s="3" t="n">
        <v>2700</v>
      </c>
      <c r="G48" s="4" t="n">
        <f aca="false">SUM(B48:F48)</f>
        <v>18650</v>
      </c>
    </row>
    <row r="49" customFormat="false" ht="15" hidden="false" customHeight="false" outlineLevel="0" collapsed="false">
      <c r="A49" s="5" t="s">
        <v>54</v>
      </c>
      <c r="B49" s="6" t="n">
        <v>10400</v>
      </c>
      <c r="C49" s="6" t="n">
        <v>2700</v>
      </c>
      <c r="D49" s="6" t="n">
        <v>2350</v>
      </c>
      <c r="E49" s="6" t="n">
        <v>4300</v>
      </c>
      <c r="F49" s="6" t="n">
        <v>2600</v>
      </c>
      <c r="G49" s="7" t="n">
        <f aca="false">SUM(B49:F49)</f>
        <v>22350</v>
      </c>
    </row>
    <row r="50" customFormat="false" ht="15" hidden="false" customHeight="false" outlineLevel="0" collapsed="false">
      <c r="A50" s="2" t="s">
        <v>55</v>
      </c>
      <c r="B50" s="3" t="n">
        <v>8800</v>
      </c>
      <c r="C50" s="3" t="n">
        <v>2200</v>
      </c>
      <c r="D50" s="3" t="n">
        <v>1700</v>
      </c>
      <c r="E50" s="3" t="n">
        <v>3500</v>
      </c>
      <c r="F50" s="3" t="n">
        <v>2500</v>
      </c>
      <c r="G50" s="4" t="n">
        <f aca="false">SUM(B50:F50)</f>
        <v>18700</v>
      </c>
    </row>
    <row r="51" customFormat="false" ht="15" hidden="false" customHeight="false" outlineLevel="0" collapsed="false">
      <c r="A51" s="5" t="s">
        <v>56</v>
      </c>
      <c r="B51" s="6" t="n">
        <v>8600</v>
      </c>
      <c r="C51" s="6" t="n">
        <v>2100</v>
      </c>
      <c r="D51" s="6" t="n">
        <v>1650</v>
      </c>
      <c r="E51" s="6" t="n">
        <v>3400</v>
      </c>
      <c r="F51" s="6" t="n">
        <v>2400</v>
      </c>
      <c r="G51" s="7" t="n">
        <f aca="false">SUM(B51:F51)</f>
        <v>18150</v>
      </c>
    </row>
    <row r="52" customFormat="false" ht="15" hidden="false" customHeight="false" outlineLevel="0" collapsed="false">
      <c r="A52" s="2" t="s">
        <v>57</v>
      </c>
      <c r="B52" s="3" t="n">
        <v>8900</v>
      </c>
      <c r="C52" s="3" t="n">
        <v>2300</v>
      </c>
      <c r="D52" s="3" t="n">
        <v>1800</v>
      </c>
      <c r="E52" s="3" t="n">
        <v>3500</v>
      </c>
      <c r="F52" s="3" t="n">
        <v>2500</v>
      </c>
      <c r="G52" s="4" t="n">
        <f aca="false">SUM(B52:F52)</f>
        <v>19000</v>
      </c>
    </row>
    <row r="53" customFormat="false" ht="15" hidden="false" customHeight="false" outlineLevel="0" collapsed="false">
      <c r="A53" s="5" t="s">
        <v>58</v>
      </c>
      <c r="B53" s="6" t="n">
        <v>8700</v>
      </c>
      <c r="C53" s="6" t="n">
        <v>2200</v>
      </c>
      <c r="D53" s="6" t="n">
        <v>1800</v>
      </c>
      <c r="E53" s="6" t="n">
        <v>3400</v>
      </c>
      <c r="F53" s="6" t="n">
        <v>2500</v>
      </c>
      <c r="G53" s="7" t="n">
        <f aca="false">SUM(B53:F53)</f>
        <v>18600</v>
      </c>
    </row>
    <row r="54" customFormat="false" ht="15" hidden="false" customHeight="false" outlineLevel="0" collapsed="false">
      <c r="A54" s="2" t="s">
        <v>59</v>
      </c>
      <c r="B54" s="3" t="n">
        <v>9200</v>
      </c>
      <c r="C54" s="3" t="n">
        <v>2400</v>
      </c>
      <c r="D54" s="3" t="n">
        <v>2000</v>
      </c>
      <c r="E54" s="3" t="n">
        <v>3400</v>
      </c>
      <c r="F54" s="3" t="n">
        <v>2600</v>
      </c>
      <c r="G54" s="4" t="n">
        <f aca="false">SUM(B54:F54)</f>
        <v>19600</v>
      </c>
    </row>
    <row r="55" customFormat="false" ht="15" hidden="false" customHeight="false" outlineLevel="0" collapsed="false">
      <c r="A55" s="5" t="s">
        <v>60</v>
      </c>
      <c r="B55" s="6" t="n">
        <v>9300</v>
      </c>
      <c r="C55" s="6" t="n">
        <v>2500</v>
      </c>
      <c r="D55" s="6" t="n">
        <v>2050</v>
      </c>
      <c r="E55" s="6" t="n">
        <v>3400</v>
      </c>
      <c r="F55" s="6" t="n">
        <v>2700</v>
      </c>
      <c r="G55" s="7" t="n">
        <f aca="false">SUM(B55:F55)</f>
        <v>19950</v>
      </c>
    </row>
    <row r="56" customFormat="false" ht="15" hidden="false" customHeight="false" outlineLevel="0" collapsed="false">
      <c r="A56" s="2" t="s">
        <v>61</v>
      </c>
      <c r="B56" s="3" t="n">
        <v>9500</v>
      </c>
      <c r="C56" s="3" t="n">
        <v>2600</v>
      </c>
      <c r="D56" s="3" t="n">
        <v>2100</v>
      </c>
      <c r="E56" s="3" t="n">
        <v>3300</v>
      </c>
      <c r="F56" s="3" t="n">
        <v>2800</v>
      </c>
      <c r="G56" s="4" t="n">
        <f aca="false">SUM(B56:F56)</f>
        <v>20300</v>
      </c>
    </row>
    <row r="57" customFormat="false" ht="15" hidden="false" customHeight="false" outlineLevel="0" collapsed="false">
      <c r="A57" s="5" t="s">
        <v>62</v>
      </c>
      <c r="B57" s="6" t="n">
        <v>9700</v>
      </c>
      <c r="C57" s="6" t="n">
        <v>2400</v>
      </c>
      <c r="D57" s="6" t="n">
        <v>2100</v>
      </c>
      <c r="E57" s="6" t="n">
        <v>3300</v>
      </c>
      <c r="F57" s="6" t="n">
        <v>2900</v>
      </c>
      <c r="G57" s="7" t="n">
        <f aca="false">SUM(B57:F57)</f>
        <v>20400</v>
      </c>
    </row>
    <row r="58" customFormat="false" ht="15" hidden="false" customHeight="false" outlineLevel="0" collapsed="false">
      <c r="A58" s="2" t="s">
        <v>63</v>
      </c>
      <c r="B58" s="3" t="n">
        <v>9600</v>
      </c>
      <c r="C58" s="3" t="n">
        <v>2300</v>
      </c>
      <c r="D58" s="3" t="n">
        <v>2000</v>
      </c>
      <c r="E58" s="3" t="n">
        <v>3200</v>
      </c>
      <c r="F58" s="3" t="n">
        <v>2800</v>
      </c>
      <c r="G58" s="4" t="n">
        <f aca="false">SUM(B58:F58)</f>
        <v>19900</v>
      </c>
    </row>
    <row r="59" customFormat="false" ht="15" hidden="false" customHeight="false" outlineLevel="0" collapsed="false">
      <c r="A59" s="5" t="s">
        <v>64</v>
      </c>
      <c r="B59" s="6" t="n">
        <v>9800</v>
      </c>
      <c r="C59" s="6" t="n">
        <v>2300</v>
      </c>
      <c r="D59" s="6" t="n">
        <v>2000</v>
      </c>
      <c r="E59" s="6" t="n">
        <v>3300</v>
      </c>
      <c r="F59" s="6" t="n">
        <v>2700</v>
      </c>
      <c r="G59" s="7" t="n">
        <f aca="false">SUM(B59:F59)</f>
        <v>20100</v>
      </c>
    </row>
    <row r="60" customFormat="false" ht="15" hidden="false" customHeight="false" outlineLevel="0" collapsed="false">
      <c r="A60" s="2" t="s">
        <v>65</v>
      </c>
      <c r="B60" s="3" t="n">
        <v>9900</v>
      </c>
      <c r="C60" s="3" t="n">
        <v>900</v>
      </c>
      <c r="D60" s="3" t="n">
        <v>1850</v>
      </c>
      <c r="E60" s="3" t="n">
        <v>3800</v>
      </c>
      <c r="F60" s="3" t="n">
        <v>2600</v>
      </c>
      <c r="G60" s="4" t="n">
        <f aca="false">SUM(B60:F60)</f>
        <v>19050</v>
      </c>
    </row>
    <row r="61" customFormat="false" ht="15" hidden="false" customHeight="false" outlineLevel="0" collapsed="false">
      <c r="A61" s="5" t="s">
        <v>66</v>
      </c>
      <c r="B61" s="6" t="n">
        <v>10700</v>
      </c>
      <c r="C61" s="6" t="n">
        <v>2800</v>
      </c>
      <c r="D61" s="6" t="n">
        <v>2400</v>
      </c>
      <c r="E61" s="6" t="n">
        <v>4400</v>
      </c>
      <c r="F61" s="6" t="n">
        <v>2500</v>
      </c>
      <c r="G61" s="7" t="n">
        <f aca="false">SUM(B61:F61)</f>
        <v>22800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7"/>
  </cols>
  <sheetData>
    <row r="1" customFormat="false" ht="30" hidden="false" customHeight="true" outlineLevel="0" collapsed="false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5" hidden="false" customHeight="tru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18" hidden="false" customHeight="true" outlineLevel="0" collapsed="false">
      <c r="A3" s="9" t="s">
        <v>68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5" customFormat="false" ht="21.75" hidden="false" customHeight="true" outlineLevel="0" collapsed="false">
      <c r="A5" s="10" t="s">
        <v>69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customFormat="false" ht="31.5" hidden="false" customHeight="true" outlineLevel="0" collapsed="false">
      <c r="A6" s="11" t="s">
        <v>70</v>
      </c>
      <c r="B6" s="11"/>
      <c r="C6" s="11" t="s">
        <v>71</v>
      </c>
      <c r="D6" s="11"/>
      <c r="E6" s="11" t="s">
        <v>72</v>
      </c>
      <c r="F6" s="11"/>
      <c r="G6" s="11" t="s">
        <v>73</v>
      </c>
      <c r="H6" s="11"/>
      <c r="I6" s="11" t="s">
        <v>74</v>
      </c>
      <c r="J6" s="11"/>
      <c r="K6" s="11" t="s">
        <v>75</v>
      </c>
      <c r="L6" s="11"/>
    </row>
    <row r="7" customFormat="false" ht="36" hidden="false" customHeight="true" outlineLevel="0" collapsed="false">
      <c r="A7" s="12" t="n">
        <f aca="false">SUM(Raw_Data!G2:G61)</f>
        <v>1100100</v>
      </c>
      <c r="B7" s="12"/>
      <c r="C7" s="12" t="n">
        <f aca="false">SUM(Raw_Data!B2:B61)</f>
        <v>518300</v>
      </c>
      <c r="D7" s="12"/>
      <c r="E7" s="12" t="n">
        <f aca="false">SUM(Raw_Data!C2:C61)</f>
        <v>115200</v>
      </c>
      <c r="F7" s="12"/>
      <c r="G7" s="12" t="n">
        <f aca="false">SUM(Raw_Data!D2:D61)</f>
        <v>108450</v>
      </c>
      <c r="H7" s="12"/>
      <c r="I7" s="12" t="n">
        <f aca="false">SUM(Raw_Data!E2:E61)</f>
        <v>213150</v>
      </c>
      <c r="J7" s="12"/>
      <c r="K7" s="12" t="n">
        <f aca="false">SUM(Raw_Data!F2:F61)</f>
        <v>145000</v>
      </c>
      <c r="L7" s="12"/>
    </row>
    <row r="8" customFormat="false" ht="18" hidden="false" customHeight="true" outlineLevel="0" collapsed="false">
      <c r="A8" s="13" t="str">
        <f aca="false">"100.0% of retail"</f>
        <v>100.0% of retail</v>
      </c>
      <c r="B8" s="13"/>
      <c r="C8" s="13" t="str">
        <f aca="false">TEXT(SUM(Raw_Data!C2:C61)/SUM(Raw_Data!G2:G61),"0.0%")&amp;" of total"</f>
        <v>10.5% of total</v>
      </c>
      <c r="D8" s="13"/>
      <c r="E8" s="13" t="str">
        <f aca="false">TEXT(SUM(Raw_Data!C2:C61)/SUM(Raw_Data!G2:G61),"0.0%")&amp;" of total"</f>
        <v>10.5% of total</v>
      </c>
      <c r="F8" s="13"/>
      <c r="G8" s="13" t="str">
        <f aca="false">TEXT(SUM(Raw_Data!D2:D61)/SUM(Raw_Data!G2:G61),"0.0%")&amp;" of total"</f>
        <v>9.9% of total</v>
      </c>
      <c r="H8" s="13"/>
      <c r="I8" s="13" t="str">
        <f aca="false">TEXT(SUM(Raw_Data!E2:E61)/SUM(Raw_Data!G2:G61),"0.0%")&amp;" of total"</f>
        <v>19.4% of total</v>
      </c>
      <c r="J8" s="13"/>
      <c r="K8" s="13" t="str">
        <f aca="false">TEXT(SUM(Raw_Data!F2:F61)/SUM(Raw_Data!G2:G61),"0.0%")&amp;" of total"</f>
        <v>13.2% of total</v>
      </c>
      <c r="L8" s="13"/>
    </row>
    <row r="9" customFormat="false" ht="9.75" hidden="false" customHeight="true" outlineLevel="0" collapsed="false"/>
    <row r="10" customFormat="false" ht="21.75" hidden="false" customHeight="true" outlineLevel="0" collapsed="false">
      <c r="A10" s="14" t="s">
        <v>76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27.75" hidden="false" customHeight="true" outlineLevel="0" collapsed="false">
      <c r="A11" s="15" t="s">
        <v>0</v>
      </c>
      <c r="B11" s="15" t="s">
        <v>77</v>
      </c>
      <c r="C11" s="15" t="s">
        <v>78</v>
      </c>
      <c r="D11" s="15" t="s">
        <v>79</v>
      </c>
      <c r="E11" s="15" t="s">
        <v>80</v>
      </c>
      <c r="F11" s="15" t="s">
        <v>81</v>
      </c>
      <c r="G11" s="15" t="s">
        <v>82</v>
      </c>
      <c r="H11" s="15" t="s">
        <v>83</v>
      </c>
      <c r="I11" s="15" t="s">
        <v>84</v>
      </c>
      <c r="J11" s="15" t="s">
        <v>85</v>
      </c>
      <c r="K11" s="15" t="s">
        <v>86</v>
      </c>
      <c r="L11" s="15" t="s">
        <v>87</v>
      </c>
    </row>
    <row r="12" customFormat="false" ht="15" hidden="false" customHeight="false" outlineLevel="0" collapsed="false">
      <c r="A12" s="16" t="s">
        <v>7</v>
      </c>
      <c r="B12" s="17" t="n">
        <f aca="false">Raw_Data!B2</f>
        <v>7200</v>
      </c>
      <c r="C12" s="17" t="n">
        <f aca="false">Raw_Data!C2</f>
        <v>1800</v>
      </c>
      <c r="D12" s="17" t="n">
        <f aca="false">Raw_Data!D2</f>
        <v>1200</v>
      </c>
      <c r="E12" s="17" t="n">
        <f aca="false">Raw_Data!E2</f>
        <v>1900</v>
      </c>
      <c r="F12" s="17" t="n">
        <f aca="false">Raw_Data!F2</f>
        <v>2200</v>
      </c>
      <c r="G12" s="18" t="n">
        <f aca="false">SUM(B12:F12)</f>
        <v>14300</v>
      </c>
    </row>
    <row r="13" customFormat="false" ht="15" hidden="false" customHeight="false" outlineLevel="0" collapsed="false">
      <c r="A13" s="19" t="s">
        <v>8</v>
      </c>
      <c r="B13" s="20" t="n">
        <f aca="false">Raw_Data!B3</f>
        <v>7100</v>
      </c>
      <c r="C13" s="20" t="n">
        <f aca="false">Raw_Data!C3</f>
        <v>1750</v>
      </c>
      <c r="D13" s="20" t="n">
        <f aca="false">Raw_Data!D3</f>
        <v>1150</v>
      </c>
      <c r="E13" s="20" t="n">
        <f aca="false">Raw_Data!E3</f>
        <v>1950</v>
      </c>
      <c r="F13" s="20" t="n">
        <f aca="false">Raw_Data!F3</f>
        <v>2100</v>
      </c>
      <c r="G13" s="21" t="n">
        <f aca="false">SUM(B13:F13)</f>
        <v>14050</v>
      </c>
    </row>
    <row r="14" customFormat="false" ht="15" hidden="false" customHeight="false" outlineLevel="0" collapsed="false">
      <c r="A14" s="16" t="s">
        <v>9</v>
      </c>
      <c r="B14" s="17" t="n">
        <f aca="false">Raw_Data!B4</f>
        <v>7800</v>
      </c>
      <c r="C14" s="17" t="n">
        <f aca="false">Raw_Data!C4</f>
        <v>1200</v>
      </c>
      <c r="D14" s="17" t="n">
        <f aca="false">Raw_Data!D4</f>
        <v>900</v>
      </c>
      <c r="E14" s="17" t="n">
        <f aca="false">Raw_Data!E4</f>
        <v>2400</v>
      </c>
      <c r="F14" s="17" t="n">
        <f aca="false">Raw_Data!F4</f>
        <v>1800</v>
      </c>
      <c r="G14" s="18" t="n">
        <f aca="false">SUM(B14:F14)</f>
        <v>14100</v>
      </c>
      <c r="H14" s="22" t="n">
        <f aca="false">G14-G13</f>
        <v>50</v>
      </c>
      <c r="I14" s="23" t="n">
        <f aca="false">(G14-G13)/G13</f>
        <v>0.00355871886120996</v>
      </c>
      <c r="L14" s="24" t="str">
        <f aca="false">IF(G14&gt;G13,"▲","▼")</f>
        <v>▲</v>
      </c>
    </row>
    <row r="15" customFormat="false" ht="15" hidden="false" customHeight="false" outlineLevel="0" collapsed="false">
      <c r="A15" s="19" t="s">
        <v>10</v>
      </c>
      <c r="B15" s="20" t="n">
        <f aca="false">Raw_Data!B5</f>
        <v>6900</v>
      </c>
      <c r="C15" s="20" t="n">
        <f aca="false">Raw_Data!C5</f>
        <v>400</v>
      </c>
      <c r="D15" s="20" t="n">
        <f aca="false">Raw_Data!D5</f>
        <v>700</v>
      </c>
      <c r="E15" s="20" t="n">
        <f aca="false">Raw_Data!E5</f>
        <v>4200</v>
      </c>
      <c r="F15" s="20" t="n">
        <f aca="false">Raw_Data!F5</f>
        <v>1000</v>
      </c>
      <c r="G15" s="21" t="n">
        <f aca="false">SUM(B15:F15)</f>
        <v>13200</v>
      </c>
      <c r="H15" s="25" t="n">
        <f aca="false">G15-G14</f>
        <v>-900</v>
      </c>
      <c r="I15" s="26" t="n">
        <f aca="false">(G15-G14)/G14</f>
        <v>-0.0638297872340426</v>
      </c>
      <c r="L15" s="27" t="str">
        <f aca="false">IF(G15&gt;G14,"▲","▼")</f>
        <v>▼</v>
      </c>
    </row>
    <row r="16" customFormat="false" ht="15" hidden="false" customHeight="false" outlineLevel="0" collapsed="false">
      <c r="A16" s="16" t="s">
        <v>11</v>
      </c>
      <c r="B16" s="17" t="n">
        <f aca="false">Raw_Data!B6</f>
        <v>7300</v>
      </c>
      <c r="C16" s="17" t="n">
        <f aca="false">Raw_Data!C6</f>
        <v>900</v>
      </c>
      <c r="D16" s="17" t="n">
        <f aca="false">Raw_Data!D6</f>
        <v>1100</v>
      </c>
      <c r="E16" s="17" t="n">
        <f aca="false">Raw_Data!E6</f>
        <v>4100</v>
      </c>
      <c r="F16" s="17" t="n">
        <f aca="false">Raw_Data!F6</f>
        <v>1200</v>
      </c>
      <c r="G16" s="18" t="n">
        <f aca="false">SUM(B16:F16)</f>
        <v>14600</v>
      </c>
      <c r="H16" s="22" t="n">
        <f aca="false">G16-G15</f>
        <v>1400</v>
      </c>
      <c r="I16" s="23" t="n">
        <f aca="false">(G16-G15)/G15</f>
        <v>0.106060606060606</v>
      </c>
      <c r="L16" s="24" t="str">
        <f aca="false">IF(G16&gt;G15,"▲","▼")</f>
        <v>▲</v>
      </c>
    </row>
    <row r="17" customFormat="false" ht="15" hidden="false" customHeight="false" outlineLevel="0" collapsed="false">
      <c r="A17" s="19" t="s">
        <v>12</v>
      </c>
      <c r="B17" s="20" t="n">
        <f aca="false">Raw_Data!B7</f>
        <v>7500</v>
      </c>
      <c r="C17" s="20" t="n">
        <f aca="false">Raw_Data!C7</f>
        <v>1700</v>
      </c>
      <c r="D17" s="20" t="n">
        <f aca="false">Raw_Data!D7</f>
        <v>1500</v>
      </c>
      <c r="E17" s="20" t="n">
        <f aca="false">Raw_Data!E7</f>
        <v>3800</v>
      </c>
      <c r="F17" s="20" t="n">
        <f aca="false">Raw_Data!F7</f>
        <v>1900</v>
      </c>
      <c r="G17" s="21" t="n">
        <f aca="false">SUM(B17:F17)</f>
        <v>16400</v>
      </c>
      <c r="H17" s="25" t="n">
        <f aca="false">G17-G16</f>
        <v>1800</v>
      </c>
      <c r="I17" s="26" t="n">
        <f aca="false">(G17-G16)/G16</f>
        <v>0.123287671232877</v>
      </c>
      <c r="L17" s="27" t="str">
        <f aca="false">IF(G17&gt;G16,"▲","▼")</f>
        <v>▲</v>
      </c>
    </row>
    <row r="18" customFormat="false" ht="15" hidden="false" customHeight="false" outlineLevel="0" collapsed="false">
      <c r="A18" s="16" t="s">
        <v>13</v>
      </c>
      <c r="B18" s="17" t="n">
        <f aca="false">Raw_Data!B8</f>
        <v>7600</v>
      </c>
      <c r="C18" s="17" t="n">
        <f aca="false">Raw_Data!C8</f>
        <v>1900</v>
      </c>
      <c r="D18" s="17" t="n">
        <f aca="false">Raw_Data!D8</f>
        <v>1700</v>
      </c>
      <c r="E18" s="17" t="n">
        <f aca="false">Raw_Data!E8</f>
        <v>3600</v>
      </c>
      <c r="F18" s="17" t="n">
        <f aca="false">Raw_Data!F8</f>
        <v>2100</v>
      </c>
      <c r="G18" s="18" t="n">
        <f aca="false">SUM(B18:F18)</f>
        <v>16900</v>
      </c>
      <c r="H18" s="22" t="n">
        <f aca="false">G18-G17</f>
        <v>500</v>
      </c>
      <c r="I18" s="23" t="n">
        <f aca="false">(G18-G17)/G17</f>
        <v>0.0304878048780488</v>
      </c>
      <c r="L18" s="24" t="str">
        <f aca="false">IF(G18&gt;G17,"▲","▼")</f>
        <v>▲</v>
      </c>
    </row>
    <row r="19" customFormat="false" ht="15" hidden="false" customHeight="false" outlineLevel="0" collapsed="false">
      <c r="A19" s="19" t="s">
        <v>14</v>
      </c>
      <c r="B19" s="20" t="n">
        <f aca="false">Raw_Data!B9</f>
        <v>7700</v>
      </c>
      <c r="C19" s="20" t="n">
        <f aca="false">Raw_Data!C9</f>
        <v>2000</v>
      </c>
      <c r="D19" s="20" t="n">
        <f aca="false">Raw_Data!D9</f>
        <v>1800</v>
      </c>
      <c r="E19" s="20" t="n">
        <f aca="false">Raw_Data!E9</f>
        <v>3500</v>
      </c>
      <c r="F19" s="20" t="n">
        <f aca="false">Raw_Data!F9</f>
        <v>2200</v>
      </c>
      <c r="G19" s="21" t="n">
        <f aca="false">SUM(B19:F19)</f>
        <v>17200</v>
      </c>
      <c r="H19" s="25" t="n">
        <f aca="false">G19-G18</f>
        <v>300</v>
      </c>
      <c r="I19" s="26" t="n">
        <f aca="false">(G19-G18)/G18</f>
        <v>0.0177514792899408</v>
      </c>
      <c r="L19" s="27" t="str">
        <f aca="false">IF(G19&gt;G18,"▲","▼")</f>
        <v>▲</v>
      </c>
    </row>
    <row r="20" customFormat="false" ht="15" hidden="false" customHeight="false" outlineLevel="0" collapsed="false">
      <c r="A20" s="16" t="s">
        <v>15</v>
      </c>
      <c r="B20" s="17" t="n">
        <f aca="false">Raw_Data!B10</f>
        <v>7800</v>
      </c>
      <c r="C20" s="17" t="n">
        <f aca="false">Raw_Data!C10</f>
        <v>1850</v>
      </c>
      <c r="D20" s="17" t="n">
        <f aca="false">Raw_Data!D10</f>
        <v>1750</v>
      </c>
      <c r="E20" s="17" t="n">
        <f aca="false">Raw_Data!E10</f>
        <v>3400</v>
      </c>
      <c r="F20" s="17" t="n">
        <f aca="false">Raw_Data!F10</f>
        <v>2100</v>
      </c>
      <c r="G20" s="18" t="n">
        <f aca="false">SUM(B20:F20)</f>
        <v>16900</v>
      </c>
      <c r="H20" s="22" t="n">
        <f aca="false">G20-G19</f>
        <v>-300</v>
      </c>
      <c r="I20" s="23" t="n">
        <f aca="false">(G20-G19)/G19</f>
        <v>-0.0174418604651163</v>
      </c>
      <c r="L20" s="24" t="str">
        <f aca="false">IF(G20&gt;G19,"▲","▼")</f>
        <v>▼</v>
      </c>
    </row>
    <row r="21" customFormat="false" ht="15" hidden="false" customHeight="false" outlineLevel="0" collapsed="false">
      <c r="A21" s="19" t="s">
        <v>16</v>
      </c>
      <c r="B21" s="20" t="n">
        <f aca="false">Raw_Data!B11</f>
        <v>7900</v>
      </c>
      <c r="C21" s="20" t="n">
        <f aca="false">Raw_Data!C11</f>
        <v>1900</v>
      </c>
      <c r="D21" s="20" t="n">
        <f aca="false">Raw_Data!D11</f>
        <v>1800</v>
      </c>
      <c r="E21" s="20" t="n">
        <f aca="false">Raw_Data!E11</f>
        <v>3600</v>
      </c>
      <c r="F21" s="20" t="n">
        <f aca="false">Raw_Data!F11</f>
        <v>2000</v>
      </c>
      <c r="G21" s="21" t="n">
        <f aca="false">SUM(B21:F21)</f>
        <v>17200</v>
      </c>
      <c r="H21" s="25" t="n">
        <f aca="false">G21-G20</f>
        <v>300</v>
      </c>
      <c r="I21" s="26" t="n">
        <f aca="false">(G21-G20)/G20</f>
        <v>0.0177514792899408</v>
      </c>
      <c r="L21" s="27" t="str">
        <f aca="false">IF(G21&gt;G20,"▲","▼")</f>
        <v>▲</v>
      </c>
    </row>
    <row r="22" customFormat="false" ht="15" hidden="false" customHeight="false" outlineLevel="0" collapsed="false">
      <c r="A22" s="16" t="s">
        <v>17</v>
      </c>
      <c r="B22" s="17" t="n">
        <f aca="false">Raw_Data!B12</f>
        <v>8100</v>
      </c>
      <c r="C22" s="17" t="n">
        <f aca="false">Raw_Data!C12</f>
        <v>600</v>
      </c>
      <c r="D22" s="17" t="n">
        <f aca="false">Raw_Data!D12</f>
        <v>1600</v>
      </c>
      <c r="E22" s="17" t="n">
        <f aca="false">Raw_Data!E12</f>
        <v>4200</v>
      </c>
      <c r="F22" s="17" t="n">
        <f aca="false">Raw_Data!F12</f>
        <v>1900</v>
      </c>
      <c r="G22" s="18" t="n">
        <f aca="false">SUM(B22:F22)</f>
        <v>16400</v>
      </c>
      <c r="H22" s="22" t="n">
        <f aca="false">G22-G21</f>
        <v>-800</v>
      </c>
      <c r="I22" s="23" t="n">
        <f aca="false">(G22-G21)/G21</f>
        <v>-0.0465116279069767</v>
      </c>
      <c r="L22" s="24" t="str">
        <f aca="false">IF(G22&gt;G21,"▲","▼")</f>
        <v>▼</v>
      </c>
    </row>
    <row r="23" customFormat="false" ht="15" hidden="false" customHeight="false" outlineLevel="0" collapsed="false">
      <c r="A23" s="19" t="s">
        <v>18</v>
      </c>
      <c r="B23" s="20" t="n">
        <f aca="false">Raw_Data!B13</f>
        <v>9200</v>
      </c>
      <c r="C23" s="20" t="n">
        <f aca="false">Raw_Data!C13</f>
        <v>2200</v>
      </c>
      <c r="D23" s="20" t="n">
        <f aca="false">Raw_Data!D13</f>
        <v>2100</v>
      </c>
      <c r="E23" s="20" t="n">
        <f aca="false">Raw_Data!E13</f>
        <v>4800</v>
      </c>
      <c r="F23" s="20" t="n">
        <f aca="false">Raw_Data!F13</f>
        <v>2100</v>
      </c>
      <c r="G23" s="21" t="n">
        <f aca="false">SUM(B23:F23)</f>
        <v>20400</v>
      </c>
      <c r="H23" s="25" t="n">
        <f aca="false">G23-G22</f>
        <v>4000</v>
      </c>
      <c r="I23" s="26" t="n">
        <f aca="false">(G23-G22)/G22</f>
        <v>0.24390243902439</v>
      </c>
      <c r="L23" s="27" t="str">
        <f aca="false">IF(G23&gt;G22,"▲","▼")</f>
        <v>▲</v>
      </c>
    </row>
    <row r="24" customFormat="false" ht="15" hidden="false" customHeight="false" outlineLevel="0" collapsed="false">
      <c r="A24" s="16" t="s">
        <v>19</v>
      </c>
      <c r="B24" s="17" t="n">
        <f aca="false">Raw_Data!B14</f>
        <v>7900</v>
      </c>
      <c r="C24" s="17" t="n">
        <f aca="false">Raw_Data!C14</f>
        <v>900</v>
      </c>
      <c r="D24" s="17" t="n">
        <f aca="false">Raw_Data!D14</f>
        <v>1400</v>
      </c>
      <c r="E24" s="17" t="n">
        <f aca="false">Raw_Data!E14</f>
        <v>4500</v>
      </c>
      <c r="F24" s="17" t="n">
        <f aca="false">Raw_Data!F14</f>
        <v>1600</v>
      </c>
      <c r="G24" s="18" t="n">
        <f aca="false">SUM(B24:F24)</f>
        <v>16300</v>
      </c>
      <c r="H24" s="22" t="n">
        <f aca="false">G24-G23</f>
        <v>-4100</v>
      </c>
      <c r="I24" s="23" t="n">
        <f aca="false">(G24-G23)/G23</f>
        <v>-0.200980392156863</v>
      </c>
      <c r="L24" s="24" t="str">
        <f aca="false">IF(G24&gt;G23,"▲","▼")</f>
        <v>▼</v>
      </c>
    </row>
    <row r="25" customFormat="false" ht="15" hidden="false" customHeight="false" outlineLevel="0" collapsed="false">
      <c r="A25" s="19" t="s">
        <v>20</v>
      </c>
      <c r="B25" s="20" t="n">
        <f aca="false">Raw_Data!B15</f>
        <v>7600</v>
      </c>
      <c r="C25" s="20" t="n">
        <f aca="false">Raw_Data!C15</f>
        <v>800</v>
      </c>
      <c r="D25" s="20" t="n">
        <f aca="false">Raw_Data!D15</f>
        <v>1300</v>
      </c>
      <c r="E25" s="20" t="n">
        <f aca="false">Raw_Data!E15</f>
        <v>4400</v>
      </c>
      <c r="F25" s="20" t="n">
        <f aca="false">Raw_Data!F15</f>
        <v>1500</v>
      </c>
      <c r="G25" s="21" t="n">
        <f aca="false">SUM(B25:F25)</f>
        <v>15600</v>
      </c>
      <c r="H25" s="25" t="n">
        <f aca="false">G25-G24</f>
        <v>-700</v>
      </c>
      <c r="I25" s="26" t="n">
        <f aca="false">(G25-G24)/G24</f>
        <v>-0.0429447852760736</v>
      </c>
      <c r="L25" s="27" t="str">
        <f aca="false">IF(G25&gt;G24,"▲","▼")</f>
        <v>▼</v>
      </c>
    </row>
    <row r="26" customFormat="false" ht="15" hidden="false" customHeight="false" outlineLevel="0" collapsed="false">
      <c r="A26" s="16" t="s">
        <v>21</v>
      </c>
      <c r="B26" s="17" t="n">
        <f aca="false">Raw_Data!B16</f>
        <v>7800</v>
      </c>
      <c r="C26" s="17" t="n">
        <f aca="false">Raw_Data!C16</f>
        <v>1000</v>
      </c>
      <c r="D26" s="17" t="n">
        <f aca="false">Raw_Data!D16</f>
        <v>1500</v>
      </c>
      <c r="E26" s="17" t="n">
        <f aca="false">Raw_Data!E16</f>
        <v>4200</v>
      </c>
      <c r="F26" s="17" t="n">
        <f aca="false">Raw_Data!F16</f>
        <v>1700</v>
      </c>
      <c r="G26" s="18" t="n">
        <f aca="false">SUM(B26:F26)</f>
        <v>16200</v>
      </c>
      <c r="H26" s="22" t="n">
        <f aca="false">G26-G25</f>
        <v>600</v>
      </c>
      <c r="I26" s="23" t="n">
        <f aca="false">(G26-G25)/G25</f>
        <v>0.0384615384615385</v>
      </c>
      <c r="J26" s="22" t="n">
        <f aca="false">G26-G14</f>
        <v>2100</v>
      </c>
      <c r="K26" s="23" t="n">
        <f aca="false">(G26-G14)/G14</f>
        <v>0.148936170212766</v>
      </c>
      <c r="L26" s="24" t="str">
        <f aca="false">IF(G26&gt;G25,"▲","▼")</f>
        <v>▲</v>
      </c>
    </row>
    <row r="27" customFormat="false" ht="15" hidden="false" customHeight="false" outlineLevel="0" collapsed="false">
      <c r="A27" s="19" t="s">
        <v>22</v>
      </c>
      <c r="B27" s="20" t="n">
        <f aca="false">Raw_Data!B17</f>
        <v>7200</v>
      </c>
      <c r="C27" s="20" t="n">
        <f aca="false">Raw_Data!C17</f>
        <v>1400</v>
      </c>
      <c r="D27" s="20" t="n">
        <f aca="false">Raw_Data!D17</f>
        <v>1600</v>
      </c>
      <c r="E27" s="20" t="n">
        <f aca="false">Raw_Data!E17</f>
        <v>4000</v>
      </c>
      <c r="F27" s="20" t="n">
        <f aca="false">Raw_Data!F17</f>
        <v>1800</v>
      </c>
      <c r="G27" s="21" t="n">
        <f aca="false">SUM(B27:F27)</f>
        <v>16000</v>
      </c>
      <c r="H27" s="25" t="n">
        <f aca="false">G27-G26</f>
        <v>-200</v>
      </c>
      <c r="I27" s="26" t="n">
        <f aca="false">(G27-G26)/G26</f>
        <v>-0.0123456790123457</v>
      </c>
      <c r="J27" s="25" t="n">
        <f aca="false">G27-G15</f>
        <v>2800</v>
      </c>
      <c r="K27" s="26" t="n">
        <f aca="false">(G27-G15)/G15</f>
        <v>0.212121212121212</v>
      </c>
      <c r="L27" s="27" t="str">
        <f aca="false">IF(G27&gt;G26,"▲","▼")</f>
        <v>▼</v>
      </c>
    </row>
    <row r="28" customFormat="false" ht="15" hidden="false" customHeight="false" outlineLevel="0" collapsed="false">
      <c r="A28" s="16" t="s">
        <v>23</v>
      </c>
      <c r="B28" s="17" t="n">
        <f aca="false">Raw_Data!B18</f>
        <v>7800</v>
      </c>
      <c r="C28" s="17" t="n">
        <f aca="false">Raw_Data!C18</f>
        <v>1900</v>
      </c>
      <c r="D28" s="17" t="n">
        <f aca="false">Raw_Data!D18</f>
        <v>1900</v>
      </c>
      <c r="E28" s="17" t="n">
        <f aca="false">Raw_Data!E18</f>
        <v>3800</v>
      </c>
      <c r="F28" s="17" t="n">
        <f aca="false">Raw_Data!F18</f>
        <v>2000</v>
      </c>
      <c r="G28" s="18" t="n">
        <f aca="false">SUM(B28:F28)</f>
        <v>17400</v>
      </c>
      <c r="H28" s="22" t="n">
        <f aca="false">G28-G27</f>
        <v>1400</v>
      </c>
      <c r="I28" s="23" t="n">
        <f aca="false">(G28-G27)/G27</f>
        <v>0.0875</v>
      </c>
      <c r="J28" s="22" t="n">
        <f aca="false">G28-G16</f>
        <v>2800</v>
      </c>
      <c r="K28" s="23" t="n">
        <f aca="false">(G28-G16)/G16</f>
        <v>0.191780821917808</v>
      </c>
      <c r="L28" s="24" t="str">
        <f aca="false">IF(G28&gt;G27,"▲","▼")</f>
        <v>▲</v>
      </c>
    </row>
    <row r="29" customFormat="false" ht="15" hidden="false" customHeight="false" outlineLevel="0" collapsed="false">
      <c r="A29" s="19" t="s">
        <v>24</v>
      </c>
      <c r="B29" s="20" t="n">
        <f aca="false">Raw_Data!B19</f>
        <v>8100</v>
      </c>
      <c r="C29" s="20" t="n">
        <f aca="false">Raw_Data!C19</f>
        <v>2100</v>
      </c>
      <c r="D29" s="20" t="n">
        <f aca="false">Raw_Data!D19</f>
        <v>2000</v>
      </c>
      <c r="E29" s="20" t="n">
        <f aca="false">Raw_Data!E19</f>
        <v>3600</v>
      </c>
      <c r="F29" s="20" t="n">
        <f aca="false">Raw_Data!F19</f>
        <v>2100</v>
      </c>
      <c r="G29" s="21" t="n">
        <f aca="false">SUM(B29:F29)</f>
        <v>17900</v>
      </c>
      <c r="H29" s="25" t="n">
        <f aca="false">G29-G28</f>
        <v>500</v>
      </c>
      <c r="I29" s="26" t="n">
        <f aca="false">(G29-G28)/G28</f>
        <v>0.028735632183908</v>
      </c>
      <c r="J29" s="25" t="n">
        <f aca="false">G29-G17</f>
        <v>1500</v>
      </c>
      <c r="K29" s="26" t="n">
        <f aca="false">(G29-G17)/G17</f>
        <v>0.0914634146341463</v>
      </c>
      <c r="L29" s="27" t="str">
        <f aca="false">IF(G29&gt;G28,"▲","▼")</f>
        <v>▲</v>
      </c>
    </row>
    <row r="30" customFormat="false" ht="15" hidden="false" customHeight="false" outlineLevel="0" collapsed="false">
      <c r="A30" s="16" t="s">
        <v>25</v>
      </c>
      <c r="B30" s="17" t="n">
        <f aca="false">Raw_Data!B20</f>
        <v>8300</v>
      </c>
      <c r="C30" s="17" t="n">
        <f aca="false">Raw_Data!C20</f>
        <v>2200</v>
      </c>
      <c r="D30" s="17" t="n">
        <f aca="false">Raw_Data!D20</f>
        <v>2100</v>
      </c>
      <c r="E30" s="17" t="n">
        <f aca="false">Raw_Data!E20</f>
        <v>3400</v>
      </c>
      <c r="F30" s="17" t="n">
        <f aca="false">Raw_Data!F20</f>
        <v>2200</v>
      </c>
      <c r="G30" s="18" t="n">
        <f aca="false">SUM(B30:F30)</f>
        <v>18200</v>
      </c>
      <c r="H30" s="22" t="n">
        <f aca="false">G30-G29</f>
        <v>300</v>
      </c>
      <c r="I30" s="23" t="n">
        <f aca="false">(G30-G29)/G29</f>
        <v>0.0167597765363129</v>
      </c>
      <c r="J30" s="22" t="n">
        <f aca="false">G30-G18</f>
        <v>1300</v>
      </c>
      <c r="K30" s="23" t="n">
        <f aca="false">(G30-G18)/G18</f>
        <v>0.0769230769230769</v>
      </c>
      <c r="L30" s="24" t="str">
        <f aca="false">IF(G30&gt;G29,"▲","▼")</f>
        <v>▲</v>
      </c>
    </row>
    <row r="31" customFormat="false" ht="15" hidden="false" customHeight="false" outlineLevel="0" collapsed="false">
      <c r="A31" s="19" t="s">
        <v>26</v>
      </c>
      <c r="B31" s="20" t="n">
        <f aca="false">Raw_Data!B21</f>
        <v>8500</v>
      </c>
      <c r="C31" s="20" t="n">
        <f aca="false">Raw_Data!C21</f>
        <v>2100</v>
      </c>
      <c r="D31" s="20" t="n">
        <f aca="false">Raw_Data!D21</f>
        <v>2200</v>
      </c>
      <c r="E31" s="20" t="n">
        <f aca="false">Raw_Data!E21</f>
        <v>3300</v>
      </c>
      <c r="F31" s="20" t="n">
        <f aca="false">Raw_Data!F21</f>
        <v>2300</v>
      </c>
      <c r="G31" s="21" t="n">
        <f aca="false">SUM(B31:F31)</f>
        <v>18400</v>
      </c>
      <c r="H31" s="25" t="n">
        <f aca="false">G31-G30</f>
        <v>200</v>
      </c>
      <c r="I31" s="26" t="n">
        <f aca="false">(G31-G30)/G30</f>
        <v>0.010989010989011</v>
      </c>
      <c r="J31" s="25" t="n">
        <f aca="false">G31-G19</f>
        <v>1200</v>
      </c>
      <c r="K31" s="26" t="n">
        <f aca="false">(G31-G19)/G19</f>
        <v>0.0697674418604651</v>
      </c>
      <c r="L31" s="27" t="str">
        <f aca="false">IF(G31&gt;G30,"▲","▼")</f>
        <v>▲</v>
      </c>
    </row>
    <row r="32" customFormat="false" ht="15" hidden="false" customHeight="false" outlineLevel="0" collapsed="false">
      <c r="A32" s="16" t="s">
        <v>27</v>
      </c>
      <c r="B32" s="17" t="n">
        <f aca="false">Raw_Data!B22</f>
        <v>8400</v>
      </c>
      <c r="C32" s="17" t="n">
        <f aca="false">Raw_Data!C22</f>
        <v>1950</v>
      </c>
      <c r="D32" s="17" t="n">
        <f aca="false">Raw_Data!D22</f>
        <v>2100</v>
      </c>
      <c r="E32" s="17" t="n">
        <f aca="false">Raw_Data!E22</f>
        <v>3200</v>
      </c>
      <c r="F32" s="17" t="n">
        <f aca="false">Raw_Data!F22</f>
        <v>2200</v>
      </c>
      <c r="G32" s="18" t="n">
        <f aca="false">SUM(B32:F32)</f>
        <v>17850</v>
      </c>
      <c r="H32" s="22" t="n">
        <f aca="false">G32-G31</f>
        <v>-550</v>
      </c>
      <c r="I32" s="23" t="n">
        <f aca="false">(G32-G31)/G31</f>
        <v>-0.0298913043478261</v>
      </c>
      <c r="J32" s="22" t="n">
        <f aca="false">G32-G20</f>
        <v>950</v>
      </c>
      <c r="K32" s="23" t="n">
        <f aca="false">(G32-G20)/G20</f>
        <v>0.0562130177514793</v>
      </c>
      <c r="L32" s="24" t="str">
        <f aca="false">IF(G32&gt;G31,"▲","▼")</f>
        <v>▼</v>
      </c>
    </row>
    <row r="33" customFormat="false" ht="15" hidden="false" customHeight="false" outlineLevel="0" collapsed="false">
      <c r="A33" s="19" t="s">
        <v>28</v>
      </c>
      <c r="B33" s="20" t="n">
        <f aca="false">Raw_Data!B23</f>
        <v>8600</v>
      </c>
      <c r="C33" s="20" t="n">
        <f aca="false">Raw_Data!C23</f>
        <v>2000</v>
      </c>
      <c r="D33" s="20" t="n">
        <f aca="false">Raw_Data!D23</f>
        <v>2100</v>
      </c>
      <c r="E33" s="20" t="n">
        <f aca="false">Raw_Data!E23</f>
        <v>3300</v>
      </c>
      <c r="F33" s="20" t="n">
        <f aca="false">Raw_Data!F23</f>
        <v>2200</v>
      </c>
      <c r="G33" s="21" t="n">
        <f aca="false">SUM(B33:F33)</f>
        <v>18200</v>
      </c>
      <c r="H33" s="25" t="n">
        <f aca="false">G33-G32</f>
        <v>350</v>
      </c>
      <c r="I33" s="26" t="n">
        <f aca="false">(G33-G32)/G32</f>
        <v>0.0196078431372549</v>
      </c>
      <c r="J33" s="25" t="n">
        <f aca="false">G33-G21</f>
        <v>1000</v>
      </c>
      <c r="K33" s="26" t="n">
        <f aca="false">(G33-G21)/G21</f>
        <v>0.0581395348837209</v>
      </c>
      <c r="L33" s="27" t="str">
        <f aca="false">IF(G33&gt;G32,"▲","▼")</f>
        <v>▲</v>
      </c>
    </row>
    <row r="34" customFormat="false" ht="15" hidden="false" customHeight="false" outlineLevel="0" collapsed="false">
      <c r="A34" s="16" t="s">
        <v>29</v>
      </c>
      <c r="B34" s="17" t="n">
        <f aca="false">Raw_Data!B24</f>
        <v>8900</v>
      </c>
      <c r="C34" s="17" t="n">
        <f aca="false">Raw_Data!C24</f>
        <v>700</v>
      </c>
      <c r="D34" s="17" t="n">
        <f aca="false">Raw_Data!D24</f>
        <v>1900</v>
      </c>
      <c r="E34" s="17" t="n">
        <f aca="false">Raw_Data!E24</f>
        <v>3900</v>
      </c>
      <c r="F34" s="17" t="n">
        <f aca="false">Raw_Data!F24</f>
        <v>2100</v>
      </c>
      <c r="G34" s="18" t="n">
        <f aca="false">SUM(B34:F34)</f>
        <v>17500</v>
      </c>
      <c r="H34" s="22" t="n">
        <f aca="false">G34-G33</f>
        <v>-700</v>
      </c>
      <c r="I34" s="23" t="n">
        <f aca="false">(G34-G33)/G33</f>
        <v>-0.0384615384615385</v>
      </c>
      <c r="J34" s="22" t="n">
        <f aca="false">G34-G22</f>
        <v>1100</v>
      </c>
      <c r="K34" s="23" t="n">
        <f aca="false">(G34-G22)/G22</f>
        <v>0.0670731707317073</v>
      </c>
      <c r="L34" s="24" t="str">
        <f aca="false">IF(G34&gt;G33,"▲","▼")</f>
        <v>▼</v>
      </c>
    </row>
    <row r="35" customFormat="false" ht="15" hidden="false" customHeight="false" outlineLevel="0" collapsed="false">
      <c r="A35" s="19" t="s">
        <v>30</v>
      </c>
      <c r="B35" s="20" t="n">
        <f aca="false">Raw_Data!B25</f>
        <v>9800</v>
      </c>
      <c r="C35" s="20" t="n">
        <f aca="false">Raw_Data!C25</f>
        <v>2400</v>
      </c>
      <c r="D35" s="20" t="n">
        <f aca="false">Raw_Data!D25</f>
        <v>2500</v>
      </c>
      <c r="E35" s="20" t="n">
        <f aca="false">Raw_Data!E25</f>
        <v>4600</v>
      </c>
      <c r="F35" s="20" t="n">
        <f aca="false">Raw_Data!F25</f>
        <v>2200</v>
      </c>
      <c r="G35" s="21" t="n">
        <f aca="false">SUM(B35:F35)</f>
        <v>21500</v>
      </c>
      <c r="H35" s="25" t="n">
        <f aca="false">G35-G34</f>
        <v>4000</v>
      </c>
      <c r="I35" s="26" t="n">
        <f aca="false">(G35-G34)/G34</f>
        <v>0.228571428571429</v>
      </c>
      <c r="J35" s="25" t="n">
        <f aca="false">G35-G23</f>
        <v>1100</v>
      </c>
      <c r="K35" s="26" t="n">
        <f aca="false">(G35-G23)/G23</f>
        <v>0.053921568627451</v>
      </c>
      <c r="L35" s="27" t="str">
        <f aca="false">IF(G35&gt;G34,"▲","▼")</f>
        <v>▲</v>
      </c>
    </row>
    <row r="36" customFormat="false" ht="15" hidden="false" customHeight="false" outlineLevel="0" collapsed="false">
      <c r="A36" s="16" t="s">
        <v>31</v>
      </c>
      <c r="B36" s="17" t="n">
        <f aca="false">Raw_Data!B26</f>
        <v>8200</v>
      </c>
      <c r="C36" s="17" t="n">
        <f aca="false">Raw_Data!C26</f>
        <v>2000</v>
      </c>
      <c r="D36" s="17" t="n">
        <f aca="false">Raw_Data!D26</f>
        <v>1600</v>
      </c>
      <c r="E36" s="17" t="n">
        <f aca="false">Raw_Data!E26</f>
        <v>3800</v>
      </c>
      <c r="F36" s="17" t="n">
        <f aca="false">Raw_Data!F26</f>
        <v>2400</v>
      </c>
      <c r="G36" s="18" t="n">
        <f aca="false">SUM(B36:F36)</f>
        <v>18000</v>
      </c>
      <c r="H36" s="22" t="n">
        <f aca="false">G36-G35</f>
        <v>-3500</v>
      </c>
      <c r="I36" s="23" t="n">
        <f aca="false">(G36-G35)/G35</f>
        <v>-0.162790697674419</v>
      </c>
      <c r="J36" s="22" t="n">
        <f aca="false">G36-G24</f>
        <v>1700</v>
      </c>
      <c r="K36" s="23" t="n">
        <f aca="false">(G36-G24)/G24</f>
        <v>0.104294478527607</v>
      </c>
      <c r="L36" s="24" t="str">
        <f aca="false">IF(G36&gt;G35,"▲","▼")</f>
        <v>▼</v>
      </c>
    </row>
    <row r="37" customFormat="false" ht="15" hidden="false" customHeight="false" outlineLevel="0" collapsed="false">
      <c r="A37" s="19" t="s">
        <v>32</v>
      </c>
      <c r="B37" s="20" t="n">
        <f aca="false">Raw_Data!B27</f>
        <v>8000</v>
      </c>
      <c r="C37" s="20" t="n">
        <f aca="false">Raw_Data!C27</f>
        <v>1900</v>
      </c>
      <c r="D37" s="20" t="n">
        <f aca="false">Raw_Data!D27</f>
        <v>1550</v>
      </c>
      <c r="E37" s="20" t="n">
        <f aca="false">Raw_Data!E27</f>
        <v>3700</v>
      </c>
      <c r="F37" s="20" t="n">
        <f aca="false">Raw_Data!F27</f>
        <v>2300</v>
      </c>
      <c r="G37" s="21" t="n">
        <f aca="false">SUM(B37:F37)</f>
        <v>17450</v>
      </c>
      <c r="H37" s="25" t="n">
        <f aca="false">G37-G36</f>
        <v>-550</v>
      </c>
      <c r="I37" s="26" t="n">
        <f aca="false">(G37-G36)/G36</f>
        <v>-0.0305555555555556</v>
      </c>
      <c r="J37" s="25" t="n">
        <f aca="false">G37-G25</f>
        <v>1850</v>
      </c>
      <c r="K37" s="26" t="n">
        <f aca="false">(G37-G25)/G25</f>
        <v>0.118589743589744</v>
      </c>
      <c r="L37" s="27" t="str">
        <f aca="false">IF(G37&gt;G36,"▲","▼")</f>
        <v>▼</v>
      </c>
    </row>
    <row r="38" customFormat="false" ht="15" hidden="false" customHeight="false" outlineLevel="0" collapsed="false">
      <c r="A38" s="16" t="s">
        <v>33</v>
      </c>
      <c r="B38" s="17" t="n">
        <f aca="false">Raw_Data!B28</f>
        <v>8300</v>
      </c>
      <c r="C38" s="17" t="n">
        <f aca="false">Raw_Data!C28</f>
        <v>2100</v>
      </c>
      <c r="D38" s="17" t="n">
        <f aca="false">Raw_Data!D28</f>
        <v>1700</v>
      </c>
      <c r="E38" s="17" t="n">
        <f aca="false">Raw_Data!E28</f>
        <v>3600</v>
      </c>
      <c r="F38" s="17" t="n">
        <f aca="false">Raw_Data!F28</f>
        <v>2500</v>
      </c>
      <c r="G38" s="18" t="n">
        <f aca="false">SUM(B38:F38)</f>
        <v>18200</v>
      </c>
      <c r="H38" s="22" t="n">
        <f aca="false">G38-G37</f>
        <v>750</v>
      </c>
      <c r="I38" s="23" t="n">
        <f aca="false">(G38-G37)/G37</f>
        <v>0.0429799426934097</v>
      </c>
      <c r="J38" s="22" t="n">
        <f aca="false">G38-G26</f>
        <v>2000</v>
      </c>
      <c r="K38" s="23" t="n">
        <f aca="false">(G38-G26)/G26</f>
        <v>0.123456790123457</v>
      </c>
      <c r="L38" s="24" t="str">
        <f aca="false">IF(G38&gt;G37,"▲","▼")</f>
        <v>▲</v>
      </c>
    </row>
    <row r="39" customFormat="false" ht="15" hidden="false" customHeight="false" outlineLevel="0" collapsed="false">
      <c r="A39" s="19" t="s">
        <v>34</v>
      </c>
      <c r="B39" s="20" t="n">
        <f aca="false">Raw_Data!B29</f>
        <v>8100</v>
      </c>
      <c r="C39" s="20" t="n">
        <f aca="false">Raw_Data!C29</f>
        <v>2000</v>
      </c>
      <c r="D39" s="20" t="n">
        <f aca="false">Raw_Data!D29</f>
        <v>1700</v>
      </c>
      <c r="E39" s="20" t="n">
        <f aca="false">Raw_Data!E29</f>
        <v>3500</v>
      </c>
      <c r="F39" s="20" t="n">
        <f aca="false">Raw_Data!F29</f>
        <v>2700</v>
      </c>
      <c r="G39" s="21" t="n">
        <f aca="false">SUM(B39:F39)</f>
        <v>18000</v>
      </c>
      <c r="H39" s="25" t="n">
        <f aca="false">G39-G38</f>
        <v>-200</v>
      </c>
      <c r="I39" s="26" t="n">
        <f aca="false">(G39-G38)/G38</f>
        <v>-0.010989010989011</v>
      </c>
      <c r="J39" s="25" t="n">
        <f aca="false">G39-G27</f>
        <v>2000</v>
      </c>
      <c r="K39" s="26" t="n">
        <f aca="false">(G39-G27)/G27</f>
        <v>0.125</v>
      </c>
      <c r="L39" s="27" t="str">
        <f aca="false">IF(G39&gt;G38,"▲","▼")</f>
        <v>▼</v>
      </c>
    </row>
    <row r="40" customFormat="false" ht="15" hidden="false" customHeight="false" outlineLevel="0" collapsed="false">
      <c r="A40" s="16" t="s">
        <v>35</v>
      </c>
      <c r="B40" s="17" t="n">
        <f aca="false">Raw_Data!B30</f>
        <v>8600</v>
      </c>
      <c r="C40" s="17" t="n">
        <f aca="false">Raw_Data!C30</f>
        <v>2200</v>
      </c>
      <c r="D40" s="17" t="n">
        <f aca="false">Raw_Data!D30</f>
        <v>1900</v>
      </c>
      <c r="E40" s="17" t="n">
        <f aca="false">Raw_Data!E30</f>
        <v>3400</v>
      </c>
      <c r="F40" s="17" t="n">
        <f aca="false">Raw_Data!F30</f>
        <v>3000</v>
      </c>
      <c r="G40" s="18" t="n">
        <f aca="false">SUM(B40:F40)</f>
        <v>19100</v>
      </c>
      <c r="H40" s="22" t="n">
        <f aca="false">G40-G39</f>
        <v>1100</v>
      </c>
      <c r="I40" s="23" t="n">
        <f aca="false">(G40-G39)/G39</f>
        <v>0.0611111111111111</v>
      </c>
      <c r="J40" s="22" t="n">
        <f aca="false">G40-G28</f>
        <v>1700</v>
      </c>
      <c r="K40" s="23" t="n">
        <f aca="false">(G40-G28)/G28</f>
        <v>0.0977011494252874</v>
      </c>
      <c r="L40" s="24" t="str">
        <f aca="false">IF(G40&gt;G39,"▲","▼")</f>
        <v>▲</v>
      </c>
    </row>
    <row r="41" customFormat="false" ht="15" hidden="false" customHeight="false" outlineLevel="0" collapsed="false">
      <c r="A41" s="19" t="s">
        <v>36</v>
      </c>
      <c r="B41" s="20" t="n">
        <f aca="false">Raw_Data!B31</f>
        <v>8700</v>
      </c>
      <c r="C41" s="20" t="n">
        <f aca="false">Raw_Data!C31</f>
        <v>2300</v>
      </c>
      <c r="D41" s="20" t="n">
        <f aca="false">Raw_Data!D31</f>
        <v>1950</v>
      </c>
      <c r="E41" s="20" t="n">
        <f aca="false">Raw_Data!E31</f>
        <v>3300</v>
      </c>
      <c r="F41" s="20" t="n">
        <f aca="false">Raw_Data!F31</f>
        <v>3100</v>
      </c>
      <c r="G41" s="21" t="n">
        <f aca="false">SUM(B41:F41)</f>
        <v>19350</v>
      </c>
      <c r="H41" s="25" t="n">
        <f aca="false">G41-G40</f>
        <v>250</v>
      </c>
      <c r="I41" s="26" t="n">
        <f aca="false">(G41-G40)/G40</f>
        <v>0.0130890052356021</v>
      </c>
      <c r="J41" s="25" t="n">
        <f aca="false">G41-G29</f>
        <v>1450</v>
      </c>
      <c r="K41" s="26" t="n">
        <f aca="false">(G41-G29)/G29</f>
        <v>0.0810055865921788</v>
      </c>
      <c r="L41" s="27" t="str">
        <f aca="false">IF(G41&gt;G40,"▲","▼")</f>
        <v>▲</v>
      </c>
    </row>
    <row r="42" customFormat="false" ht="15" hidden="false" customHeight="false" outlineLevel="0" collapsed="false">
      <c r="A42" s="16" t="s">
        <v>37</v>
      </c>
      <c r="B42" s="17" t="n">
        <f aca="false">Raw_Data!B32</f>
        <v>8900</v>
      </c>
      <c r="C42" s="17" t="n">
        <f aca="false">Raw_Data!C32</f>
        <v>2400</v>
      </c>
      <c r="D42" s="17" t="n">
        <f aca="false">Raw_Data!D32</f>
        <v>2000</v>
      </c>
      <c r="E42" s="17" t="n">
        <f aca="false">Raw_Data!E32</f>
        <v>3200</v>
      </c>
      <c r="F42" s="17" t="n">
        <f aca="false">Raw_Data!F32</f>
        <v>3200</v>
      </c>
      <c r="G42" s="18" t="n">
        <f aca="false">SUM(B42:F42)</f>
        <v>19700</v>
      </c>
      <c r="H42" s="22" t="n">
        <f aca="false">G42-G41</f>
        <v>350</v>
      </c>
      <c r="I42" s="23" t="n">
        <f aca="false">(G42-G41)/G41</f>
        <v>0.0180878552971576</v>
      </c>
      <c r="J42" s="22" t="n">
        <f aca="false">G42-G30</f>
        <v>1500</v>
      </c>
      <c r="K42" s="23" t="n">
        <f aca="false">(G42-G30)/G30</f>
        <v>0.0824175824175824</v>
      </c>
      <c r="L42" s="24" t="str">
        <f aca="false">IF(G42&gt;G41,"▲","▼")</f>
        <v>▲</v>
      </c>
    </row>
    <row r="43" customFormat="false" ht="15" hidden="false" customHeight="false" outlineLevel="0" collapsed="false">
      <c r="A43" s="19" t="s">
        <v>38</v>
      </c>
      <c r="B43" s="20" t="n">
        <f aca="false">Raw_Data!B33</f>
        <v>9100</v>
      </c>
      <c r="C43" s="20" t="n">
        <f aca="false">Raw_Data!C33</f>
        <v>2200</v>
      </c>
      <c r="D43" s="20" t="n">
        <f aca="false">Raw_Data!D33</f>
        <v>2000</v>
      </c>
      <c r="E43" s="20" t="n">
        <f aca="false">Raw_Data!E33</f>
        <v>3200</v>
      </c>
      <c r="F43" s="20" t="n">
        <f aca="false">Raw_Data!F33</f>
        <v>3300</v>
      </c>
      <c r="G43" s="21" t="n">
        <f aca="false">SUM(B43:F43)</f>
        <v>19800</v>
      </c>
      <c r="H43" s="25" t="n">
        <f aca="false">G43-G42</f>
        <v>100</v>
      </c>
      <c r="I43" s="26" t="n">
        <f aca="false">(G43-G42)/G42</f>
        <v>0.0050761421319797</v>
      </c>
      <c r="J43" s="25" t="n">
        <f aca="false">G43-G31</f>
        <v>1400</v>
      </c>
      <c r="K43" s="26" t="n">
        <f aca="false">(G43-G31)/G31</f>
        <v>0.0760869565217391</v>
      </c>
      <c r="L43" s="27" t="str">
        <f aca="false">IF(G43&gt;G42,"▲","▼")</f>
        <v>▲</v>
      </c>
    </row>
    <row r="44" customFormat="false" ht="15" hidden="false" customHeight="false" outlineLevel="0" collapsed="false">
      <c r="A44" s="16" t="s">
        <v>39</v>
      </c>
      <c r="B44" s="17" t="n">
        <f aca="false">Raw_Data!B34</f>
        <v>9000</v>
      </c>
      <c r="C44" s="17" t="n">
        <f aca="false">Raw_Data!C34</f>
        <v>2100</v>
      </c>
      <c r="D44" s="17" t="n">
        <f aca="false">Raw_Data!D34</f>
        <v>1900</v>
      </c>
      <c r="E44" s="17" t="n">
        <f aca="false">Raw_Data!E34</f>
        <v>3100</v>
      </c>
      <c r="F44" s="17" t="n">
        <f aca="false">Raw_Data!F34</f>
        <v>3100</v>
      </c>
      <c r="G44" s="18" t="n">
        <f aca="false">SUM(B44:F44)</f>
        <v>19200</v>
      </c>
      <c r="H44" s="22" t="n">
        <f aca="false">G44-G43</f>
        <v>-600</v>
      </c>
      <c r="I44" s="23" t="n">
        <f aca="false">(G44-G43)/G43</f>
        <v>-0.0303030303030303</v>
      </c>
      <c r="J44" s="22" t="n">
        <f aca="false">G44-G32</f>
        <v>1350</v>
      </c>
      <c r="K44" s="23" t="n">
        <f aca="false">(G44-G32)/G32</f>
        <v>0.0756302521008403</v>
      </c>
      <c r="L44" s="24" t="str">
        <f aca="false">IF(G44&gt;G43,"▲","▼")</f>
        <v>▼</v>
      </c>
    </row>
    <row r="45" customFormat="false" ht="15" hidden="false" customHeight="false" outlineLevel="0" collapsed="false">
      <c r="A45" s="19" t="s">
        <v>40</v>
      </c>
      <c r="B45" s="20" t="n">
        <f aca="false">Raw_Data!B35</f>
        <v>9200</v>
      </c>
      <c r="C45" s="20" t="n">
        <f aca="false">Raw_Data!C35</f>
        <v>2100</v>
      </c>
      <c r="D45" s="20" t="n">
        <f aca="false">Raw_Data!D35</f>
        <v>1900</v>
      </c>
      <c r="E45" s="20" t="n">
        <f aca="false">Raw_Data!E35</f>
        <v>3200</v>
      </c>
      <c r="F45" s="20" t="n">
        <f aca="false">Raw_Data!F35</f>
        <v>3000</v>
      </c>
      <c r="G45" s="21" t="n">
        <f aca="false">SUM(B45:F45)</f>
        <v>19400</v>
      </c>
      <c r="H45" s="25" t="n">
        <f aca="false">G45-G44</f>
        <v>200</v>
      </c>
      <c r="I45" s="26" t="n">
        <f aca="false">(G45-G44)/G44</f>
        <v>0.0104166666666667</v>
      </c>
      <c r="J45" s="25" t="n">
        <f aca="false">G45-G33</f>
        <v>1200</v>
      </c>
      <c r="K45" s="26" t="n">
        <f aca="false">(G45-G33)/G33</f>
        <v>0.0659340659340659</v>
      </c>
      <c r="L45" s="27" t="str">
        <f aca="false">IF(G45&gt;G44,"▲","▼")</f>
        <v>▲</v>
      </c>
    </row>
    <row r="46" customFormat="false" ht="15" hidden="false" customHeight="false" outlineLevel="0" collapsed="false">
      <c r="A46" s="16" t="s">
        <v>41</v>
      </c>
      <c r="B46" s="17" t="n">
        <f aca="false">Raw_Data!B36</f>
        <v>9300</v>
      </c>
      <c r="C46" s="17" t="n">
        <f aca="false">Raw_Data!C36</f>
        <v>800</v>
      </c>
      <c r="D46" s="17" t="n">
        <f aca="false">Raw_Data!D36</f>
        <v>1750</v>
      </c>
      <c r="E46" s="17" t="n">
        <f aca="false">Raw_Data!E36</f>
        <v>3800</v>
      </c>
      <c r="F46" s="17" t="n">
        <f aca="false">Raw_Data!F36</f>
        <v>2900</v>
      </c>
      <c r="G46" s="18" t="n">
        <f aca="false">SUM(B46:F46)</f>
        <v>18550</v>
      </c>
      <c r="H46" s="22" t="n">
        <f aca="false">G46-G45</f>
        <v>-850</v>
      </c>
      <c r="I46" s="23" t="n">
        <f aca="false">(G46-G45)/G45</f>
        <v>-0.0438144329896907</v>
      </c>
      <c r="J46" s="22" t="n">
        <f aca="false">G46-G34</f>
        <v>1050</v>
      </c>
      <c r="K46" s="23" t="n">
        <f aca="false">(G46-G34)/G34</f>
        <v>0.06</v>
      </c>
      <c r="L46" s="24" t="str">
        <f aca="false">IF(G46&gt;G45,"▲","▼")</f>
        <v>▼</v>
      </c>
    </row>
    <row r="47" customFormat="false" ht="15" hidden="false" customHeight="false" outlineLevel="0" collapsed="false">
      <c r="A47" s="19" t="s">
        <v>42</v>
      </c>
      <c r="B47" s="20" t="n">
        <f aca="false">Raw_Data!B37</f>
        <v>10100</v>
      </c>
      <c r="C47" s="20" t="n">
        <f aca="false">Raw_Data!C37</f>
        <v>2600</v>
      </c>
      <c r="D47" s="20" t="n">
        <f aca="false">Raw_Data!D37</f>
        <v>2300</v>
      </c>
      <c r="E47" s="20" t="n">
        <f aca="false">Raw_Data!E37</f>
        <v>4400</v>
      </c>
      <c r="F47" s="20" t="n">
        <f aca="false">Raw_Data!F37</f>
        <v>2800</v>
      </c>
      <c r="G47" s="21" t="n">
        <f aca="false">SUM(B47:F47)</f>
        <v>22200</v>
      </c>
      <c r="H47" s="25" t="n">
        <f aca="false">G47-G46</f>
        <v>3650</v>
      </c>
      <c r="I47" s="26" t="n">
        <f aca="false">(G47-G46)/G46</f>
        <v>0.196765498652291</v>
      </c>
      <c r="J47" s="25" t="n">
        <f aca="false">G47-G35</f>
        <v>700</v>
      </c>
      <c r="K47" s="26" t="n">
        <f aca="false">(G47-G35)/G35</f>
        <v>0.0325581395348837</v>
      </c>
      <c r="L47" s="27" t="str">
        <f aca="false">IF(G47&gt;G46,"▲","▼")</f>
        <v>▲</v>
      </c>
    </row>
    <row r="48" customFormat="false" ht="15" hidden="false" customHeight="false" outlineLevel="0" collapsed="false">
      <c r="A48" s="16" t="s">
        <v>43</v>
      </c>
      <c r="B48" s="17" t="n">
        <f aca="false">Raw_Data!B38</f>
        <v>8500</v>
      </c>
      <c r="C48" s="17" t="n">
        <f aca="false">Raw_Data!C38</f>
        <v>2100</v>
      </c>
      <c r="D48" s="17" t="n">
        <f aca="false">Raw_Data!D38</f>
        <v>1650</v>
      </c>
      <c r="E48" s="17" t="n">
        <f aca="false">Raw_Data!E38</f>
        <v>3600</v>
      </c>
      <c r="F48" s="17" t="n">
        <f aca="false">Raw_Data!F38</f>
        <v>2600</v>
      </c>
      <c r="G48" s="18" t="n">
        <f aca="false">SUM(B48:F48)</f>
        <v>18450</v>
      </c>
      <c r="H48" s="22" t="n">
        <f aca="false">G48-G47</f>
        <v>-3750</v>
      </c>
      <c r="I48" s="23" t="n">
        <f aca="false">(G48-G47)/G47</f>
        <v>-0.168918918918919</v>
      </c>
      <c r="J48" s="22" t="n">
        <f aca="false">G48-G36</f>
        <v>450</v>
      </c>
      <c r="K48" s="23" t="n">
        <f aca="false">(G48-G36)/G36</f>
        <v>0.025</v>
      </c>
      <c r="L48" s="24" t="str">
        <f aca="false">IF(G48&gt;G47,"▲","▼")</f>
        <v>▼</v>
      </c>
    </row>
    <row r="49" customFormat="false" ht="15" hidden="false" customHeight="false" outlineLevel="0" collapsed="false">
      <c r="A49" s="19" t="s">
        <v>44</v>
      </c>
      <c r="B49" s="20" t="n">
        <f aca="false">Raw_Data!B39</f>
        <v>8300</v>
      </c>
      <c r="C49" s="20" t="n">
        <f aca="false">Raw_Data!C39</f>
        <v>2000</v>
      </c>
      <c r="D49" s="20" t="n">
        <f aca="false">Raw_Data!D39</f>
        <v>1600</v>
      </c>
      <c r="E49" s="20" t="n">
        <f aca="false">Raw_Data!E39</f>
        <v>3500</v>
      </c>
      <c r="F49" s="20" t="n">
        <f aca="false">Raw_Data!F39</f>
        <v>2500</v>
      </c>
      <c r="G49" s="21" t="n">
        <f aca="false">SUM(B49:F49)</f>
        <v>17900</v>
      </c>
      <c r="H49" s="25" t="n">
        <f aca="false">G49-G48</f>
        <v>-550</v>
      </c>
      <c r="I49" s="26" t="n">
        <f aca="false">(G49-G48)/G48</f>
        <v>-0.029810298102981</v>
      </c>
      <c r="J49" s="25" t="n">
        <f aca="false">G49-G37</f>
        <v>450</v>
      </c>
      <c r="K49" s="26" t="n">
        <f aca="false">(G49-G37)/G37</f>
        <v>0.0257879656160458</v>
      </c>
      <c r="L49" s="27" t="str">
        <f aca="false">IF(G49&gt;G48,"▲","▼")</f>
        <v>▼</v>
      </c>
    </row>
    <row r="50" customFormat="false" ht="15" hidden="false" customHeight="false" outlineLevel="0" collapsed="false">
      <c r="A50" s="16" t="s">
        <v>45</v>
      </c>
      <c r="B50" s="17" t="n">
        <f aca="false">Raw_Data!B40</f>
        <v>8600</v>
      </c>
      <c r="C50" s="17" t="n">
        <f aca="false">Raw_Data!C40</f>
        <v>2200</v>
      </c>
      <c r="D50" s="17" t="n">
        <f aca="false">Raw_Data!D40</f>
        <v>1750</v>
      </c>
      <c r="E50" s="17" t="n">
        <f aca="false">Raw_Data!E40</f>
        <v>3500</v>
      </c>
      <c r="F50" s="17" t="n">
        <f aca="false">Raw_Data!F40</f>
        <v>2600</v>
      </c>
      <c r="G50" s="18" t="n">
        <f aca="false">SUM(B50:F50)</f>
        <v>18650</v>
      </c>
      <c r="H50" s="22" t="n">
        <f aca="false">G50-G49</f>
        <v>750</v>
      </c>
      <c r="I50" s="23" t="n">
        <f aca="false">(G50-G49)/G49</f>
        <v>0.0418994413407821</v>
      </c>
      <c r="J50" s="22" t="n">
        <f aca="false">G50-G38</f>
        <v>450</v>
      </c>
      <c r="K50" s="23" t="n">
        <f aca="false">(G50-G38)/G38</f>
        <v>0.0247252747252747</v>
      </c>
      <c r="L50" s="24" t="str">
        <f aca="false">IF(G50&gt;G49,"▲","▼")</f>
        <v>▲</v>
      </c>
    </row>
    <row r="51" customFormat="false" ht="15" hidden="false" customHeight="false" outlineLevel="0" collapsed="false">
      <c r="A51" s="19" t="s">
        <v>46</v>
      </c>
      <c r="B51" s="20" t="n">
        <f aca="false">Raw_Data!B41</f>
        <v>8400</v>
      </c>
      <c r="C51" s="20" t="n">
        <f aca="false">Raw_Data!C41</f>
        <v>2100</v>
      </c>
      <c r="D51" s="20" t="n">
        <f aca="false">Raw_Data!D41</f>
        <v>1750</v>
      </c>
      <c r="E51" s="20" t="n">
        <f aca="false">Raw_Data!E41</f>
        <v>3400</v>
      </c>
      <c r="F51" s="20" t="n">
        <f aca="false">Raw_Data!F41</f>
        <v>2600</v>
      </c>
      <c r="G51" s="21" t="n">
        <f aca="false">SUM(B51:F51)</f>
        <v>18250</v>
      </c>
      <c r="H51" s="25" t="n">
        <f aca="false">G51-G50</f>
        <v>-400</v>
      </c>
      <c r="I51" s="26" t="n">
        <f aca="false">(G51-G50)/G50</f>
        <v>-0.0214477211796247</v>
      </c>
      <c r="J51" s="25" t="n">
        <f aca="false">G51-G39</f>
        <v>250</v>
      </c>
      <c r="K51" s="26" t="n">
        <f aca="false">(G51-G39)/G39</f>
        <v>0.0138888888888889</v>
      </c>
      <c r="L51" s="27" t="str">
        <f aca="false">IF(G51&gt;G50,"▲","▼")</f>
        <v>▼</v>
      </c>
    </row>
    <row r="52" customFormat="false" ht="15" hidden="false" customHeight="false" outlineLevel="0" collapsed="false">
      <c r="A52" s="16" t="s">
        <v>47</v>
      </c>
      <c r="B52" s="17" t="n">
        <f aca="false">Raw_Data!B42</f>
        <v>8900</v>
      </c>
      <c r="C52" s="17" t="n">
        <f aca="false">Raw_Data!C42</f>
        <v>2300</v>
      </c>
      <c r="D52" s="17" t="n">
        <f aca="false">Raw_Data!D42</f>
        <v>1950</v>
      </c>
      <c r="E52" s="17" t="n">
        <f aca="false">Raw_Data!E42</f>
        <v>3400</v>
      </c>
      <c r="F52" s="17" t="n">
        <f aca="false">Raw_Data!F42</f>
        <v>2700</v>
      </c>
      <c r="G52" s="18" t="n">
        <f aca="false">SUM(B52:F52)</f>
        <v>19250</v>
      </c>
      <c r="H52" s="22" t="n">
        <f aca="false">G52-G51</f>
        <v>1000</v>
      </c>
      <c r="I52" s="23" t="n">
        <f aca="false">(G52-G51)/G51</f>
        <v>0.0547945205479452</v>
      </c>
      <c r="J52" s="22" t="n">
        <f aca="false">G52-G40</f>
        <v>150</v>
      </c>
      <c r="K52" s="23" t="n">
        <f aca="false">(G52-G40)/G40</f>
        <v>0.00785340314136126</v>
      </c>
      <c r="L52" s="24" t="str">
        <f aca="false">IF(G52&gt;G51,"▲","▼")</f>
        <v>▲</v>
      </c>
    </row>
    <row r="53" customFormat="false" ht="15" hidden="false" customHeight="false" outlineLevel="0" collapsed="false">
      <c r="A53" s="19" t="s">
        <v>48</v>
      </c>
      <c r="B53" s="20" t="n">
        <f aca="false">Raw_Data!B43</f>
        <v>9000</v>
      </c>
      <c r="C53" s="20" t="n">
        <f aca="false">Raw_Data!C43</f>
        <v>2400</v>
      </c>
      <c r="D53" s="20" t="n">
        <f aca="false">Raw_Data!D43</f>
        <v>2000</v>
      </c>
      <c r="E53" s="20" t="n">
        <f aca="false">Raw_Data!E43</f>
        <v>3300</v>
      </c>
      <c r="F53" s="20" t="n">
        <f aca="false">Raw_Data!F43</f>
        <v>2800</v>
      </c>
      <c r="G53" s="21" t="n">
        <f aca="false">SUM(B53:F53)</f>
        <v>19500</v>
      </c>
      <c r="H53" s="25" t="n">
        <f aca="false">G53-G52</f>
        <v>250</v>
      </c>
      <c r="I53" s="26" t="n">
        <f aca="false">(G53-G52)/G52</f>
        <v>0.012987012987013</v>
      </c>
      <c r="J53" s="25" t="n">
        <f aca="false">G53-G41</f>
        <v>150</v>
      </c>
      <c r="K53" s="26" t="n">
        <f aca="false">(G53-G41)/G41</f>
        <v>0.00775193798449612</v>
      </c>
      <c r="L53" s="27" t="str">
        <f aca="false">IF(G53&gt;G52,"▲","▼")</f>
        <v>▲</v>
      </c>
    </row>
    <row r="54" customFormat="false" ht="15" hidden="false" customHeight="false" outlineLevel="0" collapsed="false">
      <c r="A54" s="16" t="s">
        <v>49</v>
      </c>
      <c r="B54" s="17" t="n">
        <f aca="false">Raw_Data!B44</f>
        <v>9200</v>
      </c>
      <c r="C54" s="17" t="n">
        <f aca="false">Raw_Data!C44</f>
        <v>2500</v>
      </c>
      <c r="D54" s="17" t="n">
        <f aca="false">Raw_Data!D44</f>
        <v>2050</v>
      </c>
      <c r="E54" s="17" t="n">
        <f aca="false">Raw_Data!E44</f>
        <v>3200</v>
      </c>
      <c r="F54" s="17" t="n">
        <f aca="false">Raw_Data!F44</f>
        <v>2900</v>
      </c>
      <c r="G54" s="18" t="n">
        <f aca="false">SUM(B54:F54)</f>
        <v>19850</v>
      </c>
      <c r="H54" s="22" t="n">
        <f aca="false">G54-G53</f>
        <v>350</v>
      </c>
      <c r="I54" s="23" t="n">
        <f aca="false">(G54-G53)/G53</f>
        <v>0.0179487179487179</v>
      </c>
      <c r="J54" s="22" t="n">
        <f aca="false">G54-G42</f>
        <v>150</v>
      </c>
      <c r="K54" s="23" t="n">
        <f aca="false">(G54-G42)/G42</f>
        <v>0.00761421319796954</v>
      </c>
      <c r="L54" s="24" t="str">
        <f aca="false">IF(G54&gt;G53,"▲","▼")</f>
        <v>▲</v>
      </c>
    </row>
    <row r="55" customFormat="false" ht="15" hidden="false" customHeight="false" outlineLevel="0" collapsed="false">
      <c r="A55" s="19" t="s">
        <v>50</v>
      </c>
      <c r="B55" s="20" t="n">
        <f aca="false">Raw_Data!B45</f>
        <v>9400</v>
      </c>
      <c r="C55" s="20" t="n">
        <f aca="false">Raw_Data!C45</f>
        <v>2300</v>
      </c>
      <c r="D55" s="20" t="n">
        <f aca="false">Raw_Data!D45</f>
        <v>2050</v>
      </c>
      <c r="E55" s="20" t="n">
        <f aca="false">Raw_Data!E45</f>
        <v>3200</v>
      </c>
      <c r="F55" s="20" t="n">
        <f aca="false">Raw_Data!F45</f>
        <v>3000</v>
      </c>
      <c r="G55" s="21" t="n">
        <f aca="false">SUM(B55:F55)</f>
        <v>19950</v>
      </c>
      <c r="H55" s="25" t="n">
        <f aca="false">G55-G54</f>
        <v>100</v>
      </c>
      <c r="I55" s="26" t="n">
        <f aca="false">(G55-G54)/G54</f>
        <v>0.00503778337531486</v>
      </c>
      <c r="J55" s="25" t="n">
        <f aca="false">G55-G43</f>
        <v>150</v>
      </c>
      <c r="K55" s="26" t="n">
        <f aca="false">(G55-G43)/G43</f>
        <v>0.00757575757575758</v>
      </c>
      <c r="L55" s="27" t="str">
        <f aca="false">IF(G55&gt;G54,"▲","▼")</f>
        <v>▲</v>
      </c>
    </row>
    <row r="56" customFormat="false" ht="15" hidden="false" customHeight="false" outlineLevel="0" collapsed="false">
      <c r="A56" s="16" t="s">
        <v>51</v>
      </c>
      <c r="B56" s="17" t="n">
        <f aca="false">Raw_Data!B46</f>
        <v>9300</v>
      </c>
      <c r="C56" s="17" t="n">
        <f aca="false">Raw_Data!C46</f>
        <v>2200</v>
      </c>
      <c r="D56" s="17" t="n">
        <f aca="false">Raw_Data!D46</f>
        <v>1950</v>
      </c>
      <c r="E56" s="17" t="n">
        <f aca="false">Raw_Data!E46</f>
        <v>3100</v>
      </c>
      <c r="F56" s="17" t="n">
        <f aca="false">Raw_Data!F46</f>
        <v>2900</v>
      </c>
      <c r="G56" s="18" t="n">
        <f aca="false">SUM(B56:F56)</f>
        <v>19450</v>
      </c>
      <c r="H56" s="22" t="n">
        <f aca="false">G56-G55</f>
        <v>-500</v>
      </c>
      <c r="I56" s="23" t="n">
        <f aca="false">(G56-G55)/G55</f>
        <v>-0.025062656641604</v>
      </c>
      <c r="J56" s="22" t="n">
        <f aca="false">G56-G44</f>
        <v>250</v>
      </c>
      <c r="K56" s="23" t="n">
        <f aca="false">(G56-G44)/G44</f>
        <v>0.0130208333333333</v>
      </c>
      <c r="L56" s="24" t="str">
        <f aca="false">IF(G56&gt;G55,"▲","▼")</f>
        <v>▼</v>
      </c>
    </row>
    <row r="57" customFormat="false" ht="15" hidden="false" customHeight="false" outlineLevel="0" collapsed="false">
      <c r="A57" s="19" t="s">
        <v>52</v>
      </c>
      <c r="B57" s="20" t="n">
        <f aca="false">Raw_Data!B47</f>
        <v>9500</v>
      </c>
      <c r="C57" s="20" t="n">
        <f aca="false">Raw_Data!C47</f>
        <v>2200</v>
      </c>
      <c r="D57" s="20" t="n">
        <f aca="false">Raw_Data!D47</f>
        <v>1950</v>
      </c>
      <c r="E57" s="20" t="n">
        <f aca="false">Raw_Data!E47</f>
        <v>3200</v>
      </c>
      <c r="F57" s="20" t="n">
        <f aca="false">Raw_Data!F47</f>
        <v>2800</v>
      </c>
      <c r="G57" s="21" t="n">
        <f aca="false">SUM(B57:F57)</f>
        <v>19650</v>
      </c>
      <c r="H57" s="25" t="n">
        <f aca="false">G57-G56</f>
        <v>200</v>
      </c>
      <c r="I57" s="26" t="n">
        <f aca="false">(G57-G56)/G56</f>
        <v>0.0102827763496144</v>
      </c>
      <c r="J57" s="25" t="n">
        <f aca="false">G57-G45</f>
        <v>250</v>
      </c>
      <c r="K57" s="26" t="n">
        <f aca="false">(G57-G45)/G45</f>
        <v>0.0128865979381443</v>
      </c>
      <c r="L57" s="27" t="str">
        <f aca="false">IF(G57&gt;G56,"▲","▼")</f>
        <v>▲</v>
      </c>
    </row>
    <row r="58" customFormat="false" ht="15" hidden="false" customHeight="false" outlineLevel="0" collapsed="false">
      <c r="A58" s="16" t="s">
        <v>53</v>
      </c>
      <c r="B58" s="17" t="n">
        <f aca="false">Raw_Data!B48</f>
        <v>9600</v>
      </c>
      <c r="C58" s="17" t="n">
        <f aca="false">Raw_Data!C48</f>
        <v>850</v>
      </c>
      <c r="D58" s="17" t="n">
        <f aca="false">Raw_Data!D48</f>
        <v>1800</v>
      </c>
      <c r="E58" s="17" t="n">
        <f aca="false">Raw_Data!E48</f>
        <v>3700</v>
      </c>
      <c r="F58" s="17" t="n">
        <f aca="false">Raw_Data!F48</f>
        <v>2700</v>
      </c>
      <c r="G58" s="18" t="n">
        <f aca="false">SUM(B58:F58)</f>
        <v>18650</v>
      </c>
      <c r="H58" s="22" t="n">
        <f aca="false">G58-G57</f>
        <v>-1000</v>
      </c>
      <c r="I58" s="23" t="n">
        <f aca="false">(G58-G57)/G57</f>
        <v>-0.0508905852417303</v>
      </c>
      <c r="J58" s="22" t="n">
        <f aca="false">G58-G46</f>
        <v>100</v>
      </c>
      <c r="K58" s="23" t="n">
        <f aca="false">(G58-G46)/G46</f>
        <v>0.00539083557951483</v>
      </c>
      <c r="L58" s="24" t="str">
        <f aca="false">IF(G58&gt;G57,"▲","▼")</f>
        <v>▼</v>
      </c>
    </row>
    <row r="59" customFormat="false" ht="15" hidden="false" customHeight="false" outlineLevel="0" collapsed="false">
      <c r="A59" s="19" t="s">
        <v>54</v>
      </c>
      <c r="B59" s="20" t="n">
        <f aca="false">Raw_Data!B49</f>
        <v>10400</v>
      </c>
      <c r="C59" s="20" t="n">
        <f aca="false">Raw_Data!C49</f>
        <v>2700</v>
      </c>
      <c r="D59" s="20" t="n">
        <f aca="false">Raw_Data!D49</f>
        <v>2350</v>
      </c>
      <c r="E59" s="20" t="n">
        <f aca="false">Raw_Data!E49</f>
        <v>4300</v>
      </c>
      <c r="F59" s="20" t="n">
        <f aca="false">Raw_Data!F49</f>
        <v>2600</v>
      </c>
      <c r="G59" s="21" t="n">
        <f aca="false">SUM(B59:F59)</f>
        <v>22350</v>
      </c>
      <c r="H59" s="25" t="n">
        <f aca="false">G59-G58</f>
        <v>3700</v>
      </c>
      <c r="I59" s="26" t="n">
        <f aca="false">(G59-G58)/G58</f>
        <v>0.198391420911528</v>
      </c>
      <c r="J59" s="25" t="n">
        <f aca="false">G59-G47</f>
        <v>150</v>
      </c>
      <c r="K59" s="26" t="n">
        <f aca="false">(G59-G47)/G47</f>
        <v>0.00675675675675676</v>
      </c>
      <c r="L59" s="27" t="str">
        <f aca="false">IF(G59&gt;G58,"▲","▼")</f>
        <v>▲</v>
      </c>
    </row>
    <row r="60" customFormat="false" ht="15" hidden="false" customHeight="false" outlineLevel="0" collapsed="false">
      <c r="A60" s="16" t="s">
        <v>55</v>
      </c>
      <c r="B60" s="17" t="n">
        <f aca="false">Raw_Data!B50</f>
        <v>8800</v>
      </c>
      <c r="C60" s="17" t="n">
        <f aca="false">Raw_Data!C50</f>
        <v>2200</v>
      </c>
      <c r="D60" s="17" t="n">
        <f aca="false">Raw_Data!D50</f>
        <v>1700</v>
      </c>
      <c r="E60" s="17" t="n">
        <f aca="false">Raw_Data!E50</f>
        <v>3500</v>
      </c>
      <c r="F60" s="17" t="n">
        <f aca="false">Raw_Data!F50</f>
        <v>2500</v>
      </c>
      <c r="G60" s="18" t="n">
        <f aca="false">SUM(B60:F60)</f>
        <v>18700</v>
      </c>
      <c r="H60" s="22" t="n">
        <f aca="false">G60-G59</f>
        <v>-3650</v>
      </c>
      <c r="I60" s="23" t="n">
        <f aca="false">(G60-G59)/G59</f>
        <v>-0.16331096196868</v>
      </c>
      <c r="J60" s="22" t="n">
        <f aca="false">G60-G48</f>
        <v>250</v>
      </c>
      <c r="K60" s="23" t="n">
        <f aca="false">(G60-G48)/G48</f>
        <v>0.013550135501355</v>
      </c>
      <c r="L60" s="24" t="str">
        <f aca="false">IF(G60&gt;G59,"▲","▼")</f>
        <v>▼</v>
      </c>
    </row>
    <row r="61" customFormat="false" ht="15" hidden="false" customHeight="false" outlineLevel="0" collapsed="false">
      <c r="A61" s="19" t="s">
        <v>56</v>
      </c>
      <c r="B61" s="20" t="n">
        <f aca="false">Raw_Data!B51</f>
        <v>8600</v>
      </c>
      <c r="C61" s="20" t="n">
        <f aca="false">Raw_Data!C51</f>
        <v>2100</v>
      </c>
      <c r="D61" s="20" t="n">
        <f aca="false">Raw_Data!D51</f>
        <v>1650</v>
      </c>
      <c r="E61" s="20" t="n">
        <f aca="false">Raw_Data!E51</f>
        <v>3400</v>
      </c>
      <c r="F61" s="20" t="n">
        <f aca="false">Raw_Data!F51</f>
        <v>2400</v>
      </c>
      <c r="G61" s="21" t="n">
        <f aca="false">SUM(B61:F61)</f>
        <v>18150</v>
      </c>
      <c r="H61" s="25" t="n">
        <f aca="false">G61-G60</f>
        <v>-550</v>
      </c>
      <c r="I61" s="26" t="n">
        <f aca="false">(G61-G60)/G60</f>
        <v>-0.0294117647058824</v>
      </c>
      <c r="J61" s="25" t="n">
        <f aca="false">G61-G49</f>
        <v>250</v>
      </c>
      <c r="K61" s="26" t="n">
        <f aca="false">(G61-G49)/G49</f>
        <v>0.0139664804469274</v>
      </c>
      <c r="L61" s="27" t="str">
        <f aca="false">IF(G61&gt;G60,"▲","▼")</f>
        <v>▼</v>
      </c>
    </row>
    <row r="62" customFormat="false" ht="15" hidden="false" customHeight="false" outlineLevel="0" collapsed="false">
      <c r="A62" s="16" t="s">
        <v>57</v>
      </c>
      <c r="B62" s="17" t="n">
        <f aca="false">Raw_Data!B52</f>
        <v>8900</v>
      </c>
      <c r="C62" s="17" t="n">
        <f aca="false">Raw_Data!C52</f>
        <v>2300</v>
      </c>
      <c r="D62" s="17" t="n">
        <f aca="false">Raw_Data!D52</f>
        <v>1800</v>
      </c>
      <c r="E62" s="17" t="n">
        <f aca="false">Raw_Data!E52</f>
        <v>3500</v>
      </c>
      <c r="F62" s="17" t="n">
        <f aca="false">Raw_Data!F52</f>
        <v>2500</v>
      </c>
      <c r="G62" s="18" t="n">
        <f aca="false">SUM(B62:F62)</f>
        <v>19000</v>
      </c>
      <c r="H62" s="22" t="n">
        <f aca="false">G62-G61</f>
        <v>850</v>
      </c>
      <c r="I62" s="23" t="n">
        <f aca="false">(G62-G61)/G61</f>
        <v>0.046831955922865</v>
      </c>
      <c r="J62" s="22" t="n">
        <f aca="false">G62-G50</f>
        <v>350</v>
      </c>
      <c r="K62" s="23" t="n">
        <f aca="false">(G62-G50)/G50</f>
        <v>0.0187667560321716</v>
      </c>
      <c r="L62" s="24" t="str">
        <f aca="false">IF(G62&gt;G61,"▲","▼")</f>
        <v>▲</v>
      </c>
    </row>
    <row r="63" customFormat="false" ht="15" hidden="false" customHeight="false" outlineLevel="0" collapsed="false">
      <c r="A63" s="19" t="s">
        <v>58</v>
      </c>
      <c r="B63" s="20" t="n">
        <f aca="false">Raw_Data!B53</f>
        <v>8700</v>
      </c>
      <c r="C63" s="20" t="n">
        <f aca="false">Raw_Data!C53</f>
        <v>2200</v>
      </c>
      <c r="D63" s="20" t="n">
        <f aca="false">Raw_Data!D53</f>
        <v>1800</v>
      </c>
      <c r="E63" s="20" t="n">
        <f aca="false">Raw_Data!E53</f>
        <v>3400</v>
      </c>
      <c r="F63" s="20" t="n">
        <f aca="false">Raw_Data!F53</f>
        <v>2500</v>
      </c>
      <c r="G63" s="21" t="n">
        <f aca="false">SUM(B63:F63)</f>
        <v>18600</v>
      </c>
      <c r="H63" s="25" t="n">
        <f aca="false">G63-G62</f>
        <v>-400</v>
      </c>
      <c r="I63" s="26" t="n">
        <f aca="false">(G63-G62)/G62</f>
        <v>-0.0210526315789474</v>
      </c>
      <c r="J63" s="25" t="n">
        <f aca="false">G63-G51</f>
        <v>350</v>
      </c>
      <c r="K63" s="26" t="n">
        <f aca="false">(G63-G51)/G51</f>
        <v>0.0191780821917808</v>
      </c>
      <c r="L63" s="27" t="str">
        <f aca="false">IF(G63&gt;G62,"▲","▼")</f>
        <v>▼</v>
      </c>
    </row>
    <row r="64" customFormat="false" ht="15" hidden="false" customHeight="false" outlineLevel="0" collapsed="false">
      <c r="A64" s="16" t="s">
        <v>59</v>
      </c>
      <c r="B64" s="17" t="n">
        <f aca="false">Raw_Data!B54</f>
        <v>9200</v>
      </c>
      <c r="C64" s="17" t="n">
        <f aca="false">Raw_Data!C54</f>
        <v>2400</v>
      </c>
      <c r="D64" s="17" t="n">
        <f aca="false">Raw_Data!D54</f>
        <v>2000</v>
      </c>
      <c r="E64" s="17" t="n">
        <f aca="false">Raw_Data!E54</f>
        <v>3400</v>
      </c>
      <c r="F64" s="17" t="n">
        <f aca="false">Raw_Data!F54</f>
        <v>2600</v>
      </c>
      <c r="G64" s="18" t="n">
        <f aca="false">SUM(B64:F64)</f>
        <v>19600</v>
      </c>
      <c r="H64" s="22" t="n">
        <f aca="false">G64-G63</f>
        <v>1000</v>
      </c>
      <c r="I64" s="23" t="n">
        <f aca="false">(G64-G63)/G63</f>
        <v>0.0537634408602151</v>
      </c>
      <c r="J64" s="22" t="n">
        <f aca="false">G64-G52</f>
        <v>350</v>
      </c>
      <c r="K64" s="23" t="n">
        <f aca="false">(G64-G52)/G52</f>
        <v>0.0181818181818182</v>
      </c>
      <c r="L64" s="24" t="str">
        <f aca="false">IF(G64&gt;G63,"▲","▼")</f>
        <v>▲</v>
      </c>
    </row>
    <row r="65" customFormat="false" ht="15" hidden="false" customHeight="false" outlineLevel="0" collapsed="false">
      <c r="A65" s="19" t="s">
        <v>60</v>
      </c>
      <c r="B65" s="20" t="n">
        <f aca="false">Raw_Data!B55</f>
        <v>9300</v>
      </c>
      <c r="C65" s="20" t="n">
        <f aca="false">Raw_Data!C55</f>
        <v>2500</v>
      </c>
      <c r="D65" s="20" t="n">
        <f aca="false">Raw_Data!D55</f>
        <v>2050</v>
      </c>
      <c r="E65" s="20" t="n">
        <f aca="false">Raw_Data!E55</f>
        <v>3400</v>
      </c>
      <c r="F65" s="20" t="n">
        <f aca="false">Raw_Data!F55</f>
        <v>2700</v>
      </c>
      <c r="G65" s="21" t="n">
        <f aca="false">SUM(B65:F65)</f>
        <v>19950</v>
      </c>
      <c r="H65" s="25" t="n">
        <f aca="false">G65-G64</f>
        <v>350</v>
      </c>
      <c r="I65" s="26" t="n">
        <f aca="false">(G65-G64)/G64</f>
        <v>0.0178571428571429</v>
      </c>
      <c r="J65" s="25" t="n">
        <f aca="false">G65-G53</f>
        <v>450</v>
      </c>
      <c r="K65" s="26" t="n">
        <f aca="false">(G65-G53)/G53</f>
        <v>0.0230769230769231</v>
      </c>
      <c r="L65" s="27" t="str">
        <f aca="false">IF(G65&gt;G64,"▲","▼")</f>
        <v>▲</v>
      </c>
    </row>
    <row r="66" customFormat="false" ht="15" hidden="false" customHeight="false" outlineLevel="0" collapsed="false">
      <c r="A66" s="16" t="s">
        <v>61</v>
      </c>
      <c r="B66" s="17" t="n">
        <f aca="false">Raw_Data!B56</f>
        <v>9500</v>
      </c>
      <c r="C66" s="17" t="n">
        <f aca="false">Raw_Data!C56</f>
        <v>2600</v>
      </c>
      <c r="D66" s="17" t="n">
        <f aca="false">Raw_Data!D56</f>
        <v>2100</v>
      </c>
      <c r="E66" s="17" t="n">
        <f aca="false">Raw_Data!E56</f>
        <v>3300</v>
      </c>
      <c r="F66" s="17" t="n">
        <f aca="false">Raw_Data!F56</f>
        <v>2800</v>
      </c>
      <c r="G66" s="18" t="n">
        <f aca="false">SUM(B66:F66)</f>
        <v>20300</v>
      </c>
      <c r="H66" s="22" t="n">
        <f aca="false">G66-G65</f>
        <v>350</v>
      </c>
      <c r="I66" s="23" t="n">
        <f aca="false">(G66-G65)/G65</f>
        <v>0.0175438596491228</v>
      </c>
      <c r="J66" s="22" t="n">
        <f aca="false">G66-G54</f>
        <v>450</v>
      </c>
      <c r="K66" s="23" t="n">
        <f aca="false">(G66-G54)/G54</f>
        <v>0.0226700251889169</v>
      </c>
      <c r="L66" s="24" t="str">
        <f aca="false">IF(G66&gt;G65,"▲","▼")</f>
        <v>▲</v>
      </c>
    </row>
    <row r="67" customFormat="false" ht="15" hidden="false" customHeight="false" outlineLevel="0" collapsed="false">
      <c r="A67" s="19" t="s">
        <v>62</v>
      </c>
      <c r="B67" s="20" t="n">
        <f aca="false">Raw_Data!B57</f>
        <v>9700</v>
      </c>
      <c r="C67" s="20" t="n">
        <f aca="false">Raw_Data!C57</f>
        <v>2400</v>
      </c>
      <c r="D67" s="20" t="n">
        <f aca="false">Raw_Data!D57</f>
        <v>2100</v>
      </c>
      <c r="E67" s="20" t="n">
        <f aca="false">Raw_Data!E57</f>
        <v>3300</v>
      </c>
      <c r="F67" s="20" t="n">
        <f aca="false">Raw_Data!F57</f>
        <v>2900</v>
      </c>
      <c r="G67" s="21" t="n">
        <f aca="false">SUM(B67:F67)</f>
        <v>20400</v>
      </c>
      <c r="H67" s="25" t="n">
        <f aca="false">G67-G66</f>
        <v>100</v>
      </c>
      <c r="I67" s="26" t="n">
        <f aca="false">(G67-G66)/G66</f>
        <v>0.00492610837438424</v>
      </c>
      <c r="J67" s="25" t="n">
        <f aca="false">G67-G55</f>
        <v>450</v>
      </c>
      <c r="K67" s="26" t="n">
        <f aca="false">(G67-G55)/G55</f>
        <v>0.0225563909774436</v>
      </c>
      <c r="L67" s="27" t="str">
        <f aca="false">IF(G67&gt;G66,"▲","▼")</f>
        <v>▲</v>
      </c>
    </row>
    <row r="68" customFormat="false" ht="15" hidden="false" customHeight="false" outlineLevel="0" collapsed="false">
      <c r="A68" s="16" t="s">
        <v>63</v>
      </c>
      <c r="B68" s="17" t="n">
        <f aca="false">Raw_Data!B58</f>
        <v>9600</v>
      </c>
      <c r="C68" s="17" t="n">
        <f aca="false">Raw_Data!C58</f>
        <v>2300</v>
      </c>
      <c r="D68" s="17" t="n">
        <f aca="false">Raw_Data!D58</f>
        <v>2000</v>
      </c>
      <c r="E68" s="17" t="n">
        <f aca="false">Raw_Data!E58</f>
        <v>3200</v>
      </c>
      <c r="F68" s="17" t="n">
        <f aca="false">Raw_Data!F58</f>
        <v>2800</v>
      </c>
      <c r="G68" s="18" t="n">
        <f aca="false">SUM(B68:F68)</f>
        <v>19900</v>
      </c>
      <c r="H68" s="22" t="n">
        <f aca="false">G68-G67</f>
        <v>-500</v>
      </c>
      <c r="I68" s="23" t="n">
        <f aca="false">(G68-G67)/G67</f>
        <v>-0.0245098039215686</v>
      </c>
      <c r="J68" s="22" t="n">
        <f aca="false">G68-G56</f>
        <v>450</v>
      </c>
      <c r="K68" s="23" t="n">
        <f aca="false">(G68-G56)/G56</f>
        <v>0.0231362467866324</v>
      </c>
      <c r="L68" s="24" t="str">
        <f aca="false">IF(G68&gt;G67,"▲","▼")</f>
        <v>▼</v>
      </c>
    </row>
    <row r="69" customFormat="false" ht="15" hidden="false" customHeight="false" outlineLevel="0" collapsed="false">
      <c r="A69" s="19" t="s">
        <v>64</v>
      </c>
      <c r="B69" s="20" t="n">
        <f aca="false">Raw_Data!B59</f>
        <v>9800</v>
      </c>
      <c r="C69" s="20" t="n">
        <f aca="false">Raw_Data!C59</f>
        <v>2300</v>
      </c>
      <c r="D69" s="20" t="n">
        <f aca="false">Raw_Data!D59</f>
        <v>2000</v>
      </c>
      <c r="E69" s="20" t="n">
        <f aca="false">Raw_Data!E59</f>
        <v>3300</v>
      </c>
      <c r="F69" s="20" t="n">
        <f aca="false">Raw_Data!F59</f>
        <v>2700</v>
      </c>
      <c r="G69" s="21" t="n">
        <f aca="false">SUM(B69:F69)</f>
        <v>20100</v>
      </c>
      <c r="H69" s="25" t="n">
        <f aca="false">G69-G68</f>
        <v>200</v>
      </c>
      <c r="I69" s="26" t="n">
        <f aca="false">(G69-G68)/G68</f>
        <v>0.0100502512562814</v>
      </c>
      <c r="J69" s="25" t="n">
        <f aca="false">G69-G57</f>
        <v>450</v>
      </c>
      <c r="K69" s="26" t="n">
        <f aca="false">(G69-G57)/G57</f>
        <v>0.0229007633587786</v>
      </c>
      <c r="L69" s="27" t="str">
        <f aca="false">IF(G69&gt;G68,"▲","▼")</f>
        <v>▲</v>
      </c>
    </row>
    <row r="70" customFormat="false" ht="15" hidden="false" customHeight="false" outlineLevel="0" collapsed="false">
      <c r="A70" s="16" t="s">
        <v>65</v>
      </c>
      <c r="B70" s="17" t="n">
        <f aca="false">Raw_Data!B60</f>
        <v>9900</v>
      </c>
      <c r="C70" s="17" t="n">
        <f aca="false">Raw_Data!C60</f>
        <v>900</v>
      </c>
      <c r="D70" s="17" t="n">
        <f aca="false">Raw_Data!D60</f>
        <v>1850</v>
      </c>
      <c r="E70" s="17" t="n">
        <f aca="false">Raw_Data!E60</f>
        <v>3800</v>
      </c>
      <c r="F70" s="17" t="n">
        <f aca="false">Raw_Data!F60</f>
        <v>2600</v>
      </c>
      <c r="G70" s="18" t="n">
        <f aca="false">SUM(B70:F70)</f>
        <v>19050</v>
      </c>
      <c r="H70" s="22" t="n">
        <f aca="false">G70-G69</f>
        <v>-1050</v>
      </c>
      <c r="I70" s="23" t="n">
        <f aca="false">(G70-G69)/G69</f>
        <v>-0.0522388059701493</v>
      </c>
      <c r="J70" s="22" t="n">
        <f aca="false">G70-G58</f>
        <v>400</v>
      </c>
      <c r="K70" s="23" t="n">
        <f aca="false">(G70-G58)/G58</f>
        <v>0.0214477211796247</v>
      </c>
      <c r="L70" s="24" t="str">
        <f aca="false">IF(G70&gt;G69,"▲","▼")</f>
        <v>▼</v>
      </c>
    </row>
    <row r="71" customFormat="false" ht="15" hidden="false" customHeight="false" outlineLevel="0" collapsed="false">
      <c r="A71" s="19" t="s">
        <v>66</v>
      </c>
      <c r="B71" s="20" t="n">
        <f aca="false">Raw_Data!B61</f>
        <v>10700</v>
      </c>
      <c r="C71" s="20" t="n">
        <f aca="false">Raw_Data!C61</f>
        <v>2800</v>
      </c>
      <c r="D71" s="20" t="n">
        <f aca="false">Raw_Data!D61</f>
        <v>2400</v>
      </c>
      <c r="E71" s="20" t="n">
        <f aca="false">Raw_Data!E61</f>
        <v>4400</v>
      </c>
      <c r="F71" s="20" t="n">
        <f aca="false">Raw_Data!F61</f>
        <v>2500</v>
      </c>
      <c r="G71" s="21" t="n">
        <f aca="false">SUM(B71:F71)</f>
        <v>22800</v>
      </c>
      <c r="H71" s="25" t="n">
        <f aca="false">G71-G70</f>
        <v>3750</v>
      </c>
      <c r="I71" s="26" t="n">
        <f aca="false">(G71-G70)/G70</f>
        <v>0.196850393700787</v>
      </c>
      <c r="J71" s="25" t="n">
        <f aca="false">G71-G59</f>
        <v>450</v>
      </c>
      <c r="K71" s="26" t="n">
        <f aca="false">(G71-G59)/G59</f>
        <v>0.0201342281879195</v>
      </c>
      <c r="L71" s="27" t="str">
        <f aca="false">IF(G71&gt;G70,"▲","▼")</f>
        <v>▲</v>
      </c>
    </row>
  </sheetData>
  <mergeCells count="22">
    <mergeCell ref="A1:L2"/>
    <mergeCell ref="A3:L3"/>
    <mergeCell ref="A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28" t="s">
        <v>88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5" hidden="false" customHeight="true" outlineLevel="0" collapsed="false">
      <c r="A2" s="28"/>
      <c r="B2" s="28"/>
      <c r="C2" s="28"/>
      <c r="D2" s="28"/>
      <c r="E2" s="28"/>
      <c r="F2" s="28"/>
      <c r="G2" s="28"/>
      <c r="H2" s="28"/>
      <c r="I2" s="28"/>
      <c r="J2" s="28"/>
    </row>
    <row r="3" customFormat="false" ht="15.75" hidden="false" customHeight="true" outlineLevel="0" collapsed="false">
      <c r="A3" s="29" t="s">
        <v>89</v>
      </c>
      <c r="B3" s="29"/>
      <c r="C3" s="29"/>
      <c r="D3" s="29"/>
      <c r="E3" s="29"/>
      <c r="F3" s="29"/>
      <c r="G3" s="29"/>
      <c r="H3" s="29"/>
      <c r="I3" s="29"/>
      <c r="J3" s="29"/>
    </row>
    <row r="5" customFormat="false" ht="21.75" hidden="false" customHeight="true" outlineLevel="0" collapsed="false">
      <c r="A5" s="14" t="s">
        <v>90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31.5" hidden="false" customHeight="true" outlineLevel="0" collapsed="false">
      <c r="A6" s="30" t="s">
        <v>91</v>
      </c>
      <c r="B6" s="31" t="s">
        <v>92</v>
      </c>
      <c r="C6" s="31" t="s">
        <v>93</v>
      </c>
      <c r="D6" s="31" t="s">
        <v>94</v>
      </c>
      <c r="E6" s="31" t="s">
        <v>95</v>
      </c>
      <c r="F6" s="31" t="s">
        <v>96</v>
      </c>
      <c r="G6" s="32" t="s">
        <v>97</v>
      </c>
      <c r="H6" s="32" t="s">
        <v>98</v>
      </c>
      <c r="I6" s="32" t="s">
        <v>99</v>
      </c>
      <c r="J6" s="32" t="s">
        <v>100</v>
      </c>
    </row>
    <row r="7" customFormat="false" ht="15" hidden="false" customHeight="false" outlineLevel="0" collapsed="false">
      <c r="A7" s="33" t="s">
        <v>77</v>
      </c>
      <c r="B7" s="34" t="n">
        <f aca="false">SUM(Raw_Data!B2:B13)</f>
        <v>92100</v>
      </c>
      <c r="C7" s="34" t="n">
        <f aca="false">SUM(Raw_Data!B14:B25)</f>
        <v>98900</v>
      </c>
      <c r="D7" s="34" t="n">
        <f aca="false">SUM(Raw_Data!B26:B37)</f>
        <v>105500</v>
      </c>
      <c r="E7" s="34" t="n">
        <f aca="false">SUM(Raw_Data!B38:B49)</f>
        <v>109100</v>
      </c>
      <c r="F7" s="34" t="n">
        <f aca="false">SUM(Raw_Data!B50:B61)</f>
        <v>112700</v>
      </c>
      <c r="G7" s="35" t="n">
        <f aca="false">(F7-B7)/B7</f>
        <v>0.223669923995657</v>
      </c>
      <c r="H7" s="36" t="n">
        <f aca="false">IF(F$12&lt;&gt;0,F7/F$12,0)</f>
        <v>0.476432043965335</v>
      </c>
      <c r="I7" s="37" t="n">
        <f aca="false">MATCH(MAX(B7:F7),B7:F7,0)+2019</f>
        <v>2024</v>
      </c>
      <c r="J7" s="38" t="s">
        <v>101</v>
      </c>
    </row>
    <row r="8" customFormat="false" ht="15" hidden="false" customHeight="false" outlineLevel="0" collapsed="false">
      <c r="A8" s="39" t="s">
        <v>102</v>
      </c>
      <c r="B8" s="40" t="n">
        <f aca="false">SUM(Raw_Data!C2:C13)</f>
        <v>18200</v>
      </c>
      <c r="C8" s="40" t="n">
        <f aca="false">SUM(Raw_Data!C14:C25)</f>
        <v>19450</v>
      </c>
      <c r="D8" s="40" t="n">
        <f aca="false">SUM(Raw_Data!C26:C37)</f>
        <v>24700</v>
      </c>
      <c r="E8" s="40" t="n">
        <f aca="false">SUM(Raw_Data!C38:C49)</f>
        <v>25850</v>
      </c>
      <c r="F8" s="40" t="n">
        <f aca="false">SUM(Raw_Data!C50:C61)</f>
        <v>27000</v>
      </c>
      <c r="G8" s="41" t="n">
        <f aca="false">(F8-B8)/B8</f>
        <v>0.483516483516484</v>
      </c>
      <c r="H8" s="42" t="n">
        <f aca="false">IF(F$12&lt;&gt;0,F8/F$12,0)</f>
        <v>0.114140773620799</v>
      </c>
      <c r="I8" s="43" t="n">
        <f aca="false">MATCH(MAX(B8:F8),B8:F8,0)+2019</f>
        <v>2024</v>
      </c>
      <c r="J8" s="44" t="s">
        <v>103</v>
      </c>
    </row>
    <row r="9" customFormat="false" ht="15" hidden="false" customHeight="false" outlineLevel="0" collapsed="false">
      <c r="A9" s="33" t="s">
        <v>104</v>
      </c>
      <c r="B9" s="34" t="n">
        <f aca="false">SUM(Raw_Data!D2:D13)</f>
        <v>17300</v>
      </c>
      <c r="C9" s="34" t="n">
        <f aca="false">SUM(Raw_Data!D14:D25)</f>
        <v>22600</v>
      </c>
      <c r="D9" s="34" t="n">
        <f aca="false">SUM(Raw_Data!D26:D37)</f>
        <v>22250</v>
      </c>
      <c r="E9" s="34" t="n">
        <f aca="false">SUM(Raw_Data!D38:D49)</f>
        <v>22850</v>
      </c>
      <c r="F9" s="34" t="n">
        <f aca="false">SUM(Raw_Data!D50:D61)</f>
        <v>23450</v>
      </c>
      <c r="G9" s="35" t="n">
        <f aca="false">(F9-B9)/B9</f>
        <v>0.355491329479769</v>
      </c>
      <c r="H9" s="36" t="n">
        <f aca="false">IF(F$12&lt;&gt;0,F9/F$12,0)</f>
        <v>0.0991333756076939</v>
      </c>
      <c r="I9" s="37" t="n">
        <f aca="false">MATCH(MAX(B9:F9),B9:F9,0)+2019</f>
        <v>2024</v>
      </c>
      <c r="J9" s="38" t="s">
        <v>103</v>
      </c>
    </row>
    <row r="10" customFormat="false" ht="15" hidden="false" customHeight="false" outlineLevel="0" collapsed="false">
      <c r="A10" s="39" t="s">
        <v>105</v>
      </c>
      <c r="B10" s="40" t="n">
        <f aca="false">SUM(Raw_Data!E2:E13)</f>
        <v>41450</v>
      </c>
      <c r="C10" s="40" t="n">
        <f aca="false">SUM(Raw_Data!E14:E25)</f>
        <v>46200</v>
      </c>
      <c r="D10" s="40" t="n">
        <f aca="false">SUM(Raw_Data!E26:E37)</f>
        <v>42200</v>
      </c>
      <c r="E10" s="40" t="n">
        <f aca="false">SUM(Raw_Data!E38:E49)</f>
        <v>41400</v>
      </c>
      <c r="F10" s="40" t="n">
        <f aca="false">SUM(Raw_Data!E50:E61)</f>
        <v>41900</v>
      </c>
      <c r="G10" s="41" t="n">
        <f aca="false">(F10-B10)/B10</f>
        <v>0.0108564535585042</v>
      </c>
      <c r="H10" s="42" t="n">
        <f aca="false">IF(F$12&lt;&gt;0,F10/F$12,0)</f>
        <v>0.17712957091524</v>
      </c>
      <c r="I10" s="43" t="n">
        <f aca="false">MATCH(MAX(B10:F10),B10:F10,0)+2019</f>
        <v>2021</v>
      </c>
      <c r="J10" s="44" t="s">
        <v>106</v>
      </c>
    </row>
    <row r="11" customFormat="false" ht="15" hidden="false" customHeight="false" outlineLevel="0" collapsed="false">
      <c r="A11" s="33" t="s">
        <v>107</v>
      </c>
      <c r="B11" s="34" t="n">
        <f aca="false">SUM(Raw_Data!F2:F13)</f>
        <v>22600</v>
      </c>
      <c r="C11" s="34" t="n">
        <f aca="false">SUM(Raw_Data!F14:F25)</f>
        <v>23900</v>
      </c>
      <c r="D11" s="34" t="n">
        <f aca="false">SUM(Raw_Data!F26:F37)</f>
        <v>34300</v>
      </c>
      <c r="E11" s="34" t="n">
        <f aca="false">SUM(Raw_Data!F38:F49)</f>
        <v>32700</v>
      </c>
      <c r="F11" s="34" t="n">
        <f aca="false">SUM(Raw_Data!F50:F61)</f>
        <v>31500</v>
      </c>
      <c r="G11" s="35" t="n">
        <f aca="false">(F11-B11)/B11</f>
        <v>0.393805309734513</v>
      </c>
      <c r="H11" s="36" t="n">
        <f aca="false">IF(F$12&lt;&gt;0,F11/F$12,0)</f>
        <v>0.133164235890932</v>
      </c>
      <c r="I11" s="37" t="n">
        <f aca="false">MATCH(MAX(B11:F11),B11:F11,0)+2019</f>
        <v>2022</v>
      </c>
      <c r="J11" s="38" t="s">
        <v>108</v>
      </c>
    </row>
    <row r="12" customFormat="false" ht="21.75" hidden="false" customHeight="true" outlineLevel="0" collapsed="false">
      <c r="A12" s="45" t="s">
        <v>82</v>
      </c>
      <c r="B12" s="46" t="n">
        <f aca="false">SUM(Raw_Data!G2:G13)</f>
        <v>191650</v>
      </c>
      <c r="C12" s="46" t="n">
        <f aca="false">SUM(Raw_Data!G14:G25)</f>
        <v>211050</v>
      </c>
      <c r="D12" s="46" t="n">
        <f aca="false">SUM(Raw_Data!G26:G37)</f>
        <v>228950</v>
      </c>
      <c r="E12" s="46" t="n">
        <f aca="false">SUM(Raw_Data!G38:G49)</f>
        <v>231900</v>
      </c>
      <c r="F12" s="46" t="n">
        <f aca="false">SUM(Raw_Data!G50:G61)</f>
        <v>236550</v>
      </c>
      <c r="G12" s="47" t="n">
        <f aca="false">(F12-B12)/B12</f>
        <v>0.234281241847117</v>
      </c>
      <c r="H12" s="42" t="n">
        <f aca="false">IF(F$12&lt;&gt;0,F12/F$12,0)</f>
        <v>1</v>
      </c>
      <c r="I12" s="43" t="n">
        <f aca="false">MATCH(MAX(B12:F12),B12:F12,0)+2019</f>
        <v>2024</v>
      </c>
      <c r="J12" s="44" t="s">
        <v>101</v>
      </c>
    </row>
    <row r="14" customFormat="false" ht="21.75" hidden="false" customHeight="true" outlineLevel="0" collapsed="false">
      <c r="A14" s="10" t="s">
        <v>109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31.5" hidden="false" customHeight="true" outlineLevel="0" collapsed="false">
      <c r="A15" s="31" t="s">
        <v>110</v>
      </c>
      <c r="B15" s="31" t="s">
        <v>111</v>
      </c>
      <c r="C15" s="31" t="s">
        <v>112</v>
      </c>
      <c r="D15" s="32" t="s">
        <v>113</v>
      </c>
      <c r="E15" s="32" t="s">
        <v>114</v>
      </c>
      <c r="F15" s="32" t="s">
        <v>115</v>
      </c>
      <c r="G15" s="32" t="s">
        <v>116</v>
      </c>
    </row>
    <row r="16" customFormat="false" ht="15" hidden="false" customHeight="false" outlineLevel="0" collapsed="false">
      <c r="A16" s="48" t="n">
        <v>2020</v>
      </c>
      <c r="B16" s="40" t="n">
        <f aca="false">SUM(Raw_Data!E2:E13)</f>
        <v>41450</v>
      </c>
      <c r="C16" s="40" t="n">
        <f aca="false">SUM(Raw_Data!B2:B13)+SUM(Raw_Data!C2:C13)+SUM(Raw_Data!D2:D13)+SUM(Raw_Data!F2:F13)</f>
        <v>150200</v>
      </c>
      <c r="D16" s="49" t="n">
        <f aca="false">B16/(B16+C16)</f>
        <v>0.216279676493608</v>
      </c>
      <c r="G16" s="50" t="s">
        <v>117</v>
      </c>
    </row>
    <row r="17" customFormat="false" ht="15" hidden="false" customHeight="false" outlineLevel="0" collapsed="false">
      <c r="A17" s="51" t="n">
        <v>2021</v>
      </c>
      <c r="B17" s="34" t="n">
        <f aca="false">SUM(Raw_Data!E14:E25)</f>
        <v>46200</v>
      </c>
      <c r="C17" s="34" t="n">
        <f aca="false">SUM(Raw_Data!B14:B25)+SUM(Raw_Data!C14:C25)+SUM(Raw_Data!D14:D25)+SUM(Raw_Data!F14:F25)</f>
        <v>164850</v>
      </c>
      <c r="D17" s="52" t="n">
        <f aca="false">B17/(B17+C17)</f>
        <v>0.218905472636816</v>
      </c>
      <c r="E17" s="53" t="n">
        <f aca="false">(B17-B16)/B16</f>
        <v>0.1145958986731</v>
      </c>
      <c r="F17" s="53" t="n">
        <f aca="false">(C17-C16)/C16</f>
        <v>0.0975366178428762</v>
      </c>
      <c r="G17" s="54" t="s">
        <v>118</v>
      </c>
    </row>
    <row r="18" customFormat="false" ht="15" hidden="false" customHeight="false" outlineLevel="0" collapsed="false">
      <c r="A18" s="48" t="n">
        <v>2022</v>
      </c>
      <c r="B18" s="40" t="n">
        <f aca="false">SUM(Raw_Data!E26:E37)</f>
        <v>42200</v>
      </c>
      <c r="C18" s="40" t="n">
        <f aca="false">SUM(Raw_Data!B26:B37)+SUM(Raw_Data!C26:C37)+SUM(Raw_Data!D26:D37)+SUM(Raw_Data!F26:F37)</f>
        <v>186750</v>
      </c>
      <c r="D18" s="49" t="n">
        <f aca="false">B18/(B18+C18)</f>
        <v>0.184319720462983</v>
      </c>
      <c r="E18" s="55" t="n">
        <f aca="false">(B18-B17)/B17</f>
        <v>-0.0865800865800866</v>
      </c>
      <c r="F18" s="55" t="n">
        <f aca="false">(C18-C17)/C17</f>
        <v>0.132848043676069</v>
      </c>
      <c r="G18" s="50" t="s">
        <v>119</v>
      </c>
    </row>
    <row r="19" customFormat="false" ht="15" hidden="false" customHeight="false" outlineLevel="0" collapsed="false">
      <c r="A19" s="51" t="n">
        <v>2023</v>
      </c>
      <c r="B19" s="34" t="n">
        <f aca="false">SUM(Raw_Data!E38:E49)</f>
        <v>41400</v>
      </c>
      <c r="C19" s="34" t="n">
        <f aca="false">SUM(Raw_Data!B38:B49)+SUM(Raw_Data!C38:C49)+SUM(Raw_Data!D38:D49)+SUM(Raw_Data!F38:F49)</f>
        <v>190500</v>
      </c>
      <c r="D19" s="52" t="n">
        <f aca="false">B19/(B19+C19)</f>
        <v>0.178525226390686</v>
      </c>
      <c r="E19" s="53" t="n">
        <f aca="false">(B19-B18)/B18</f>
        <v>-0.018957345971564</v>
      </c>
      <c r="F19" s="53" t="n">
        <f aca="false">(C19-C18)/C18</f>
        <v>0.0200803212851406</v>
      </c>
      <c r="G19" s="54" t="s">
        <v>120</v>
      </c>
    </row>
    <row r="20" customFormat="false" ht="15" hidden="false" customHeight="false" outlineLevel="0" collapsed="false">
      <c r="A20" s="48" t="n">
        <v>2024</v>
      </c>
      <c r="B20" s="40" t="n">
        <f aca="false">SUM(Raw_Data!E50:E61)</f>
        <v>41900</v>
      </c>
      <c r="C20" s="40" t="n">
        <f aca="false">SUM(Raw_Data!B50:B61)+SUM(Raw_Data!C50:C61)+SUM(Raw_Data!D50:D61)+SUM(Raw_Data!F50:F61)</f>
        <v>194650</v>
      </c>
      <c r="D20" s="49" t="n">
        <f aca="false">B20/(B20+C20)</f>
        <v>0.17712957091524</v>
      </c>
      <c r="E20" s="55" t="n">
        <f aca="false">(B20-B19)/B19</f>
        <v>0.0120772946859903</v>
      </c>
      <c r="F20" s="55" t="n">
        <f aca="false">(C20-C19)/C19</f>
        <v>0.0217847769028871</v>
      </c>
      <c r="G20" s="50" t="s">
        <v>121</v>
      </c>
    </row>
  </sheetData>
  <mergeCells count="4">
    <mergeCell ref="A1:J2"/>
    <mergeCell ref="A3:J3"/>
    <mergeCell ref="A5:J5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27.75" hidden="false" customHeight="true" outlineLevel="0" collapsed="false">
      <c r="A1" s="28" t="s">
        <v>122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5" hidden="false" customHeight="true" outlineLevel="0" collapsed="false">
      <c r="A2" s="28"/>
      <c r="B2" s="28"/>
      <c r="C2" s="28"/>
      <c r="D2" s="28"/>
      <c r="E2" s="28"/>
      <c r="F2" s="28"/>
      <c r="G2" s="28"/>
      <c r="H2" s="28"/>
      <c r="I2" s="28"/>
      <c r="J2" s="28"/>
    </row>
    <row r="3" customFormat="false" ht="15.75" hidden="false" customHeight="true" outlineLevel="0" collapsed="false">
      <c r="A3" s="29" t="s">
        <v>123</v>
      </c>
      <c r="B3" s="29"/>
      <c r="C3" s="29"/>
      <c r="D3" s="29"/>
      <c r="E3" s="29"/>
      <c r="F3" s="29"/>
      <c r="G3" s="29"/>
      <c r="H3" s="29"/>
      <c r="I3" s="29"/>
      <c r="J3" s="29"/>
    </row>
    <row r="5" customFormat="false" ht="21.75" hidden="false" customHeight="true" outlineLevel="0" collapsed="false">
      <c r="A5" s="14" t="s">
        <v>124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31.5" hidden="false" customHeight="true" outlineLevel="0" collapsed="false">
      <c r="A6" s="15" t="s">
        <v>125</v>
      </c>
      <c r="B6" s="15" t="s">
        <v>126</v>
      </c>
      <c r="C6" s="15" t="s">
        <v>127</v>
      </c>
      <c r="D6" s="15" t="s">
        <v>128</v>
      </c>
      <c r="E6" s="15" t="s">
        <v>129</v>
      </c>
      <c r="F6" s="15" t="s">
        <v>130</v>
      </c>
      <c r="G6" s="15" t="s">
        <v>131</v>
      </c>
      <c r="H6" s="15" t="s">
        <v>132</v>
      </c>
      <c r="I6" s="15" t="s">
        <v>133</v>
      </c>
      <c r="J6" s="15" t="s">
        <v>134</v>
      </c>
    </row>
    <row r="7" customFormat="false" ht="15" hidden="false" customHeight="false" outlineLevel="0" collapsed="false">
      <c r="A7" s="5" t="s">
        <v>135</v>
      </c>
      <c r="B7" s="56" t="n">
        <v>38000</v>
      </c>
      <c r="C7" s="56" t="n">
        <v>5200</v>
      </c>
      <c r="D7" s="56" t="n">
        <v>2800</v>
      </c>
      <c r="E7" s="56" t="n">
        <v>1500</v>
      </c>
      <c r="F7" s="7" t="n">
        <f aca="false">SUM(B7:E7)</f>
        <v>47500</v>
      </c>
      <c r="G7" s="36" t="n">
        <f aca="false">B7/F7</f>
        <v>0.8</v>
      </c>
      <c r="H7" s="36" t="n">
        <f aca="false">C7/F7</f>
        <v>0.109473684210526</v>
      </c>
      <c r="I7" s="36" t="n">
        <f aca="false">D7/F7</f>
        <v>0.0589473684210526</v>
      </c>
      <c r="J7" s="36" t="n">
        <f aca="false">E7/F7</f>
        <v>0.0315789473684211</v>
      </c>
    </row>
    <row r="8" customFormat="false" ht="15" hidden="false" customHeight="false" outlineLevel="0" collapsed="false">
      <c r="A8" s="2" t="s">
        <v>136</v>
      </c>
      <c r="B8" s="57" t="n">
        <v>32000</v>
      </c>
      <c r="C8" s="57" t="n">
        <v>4300</v>
      </c>
      <c r="D8" s="57" t="n">
        <v>2300</v>
      </c>
      <c r="E8" s="57" t="n">
        <v>1200</v>
      </c>
      <c r="F8" s="4" t="n">
        <f aca="false">SUM(B8:E8)</f>
        <v>39800</v>
      </c>
      <c r="G8" s="42" t="n">
        <f aca="false">B8/F8</f>
        <v>0.804020100502513</v>
      </c>
      <c r="H8" s="42" t="n">
        <f aca="false">C8/F8</f>
        <v>0.108040201005025</v>
      </c>
      <c r="I8" s="42" t="n">
        <f aca="false">D8/F8</f>
        <v>0.0577889447236181</v>
      </c>
      <c r="J8" s="42" t="n">
        <f aca="false">E8/F8</f>
        <v>0.0301507537688442</v>
      </c>
    </row>
    <row r="9" customFormat="false" ht="15" hidden="false" customHeight="false" outlineLevel="0" collapsed="false">
      <c r="A9" s="5" t="s">
        <v>137</v>
      </c>
      <c r="B9" s="56" t="n">
        <v>40000</v>
      </c>
      <c r="C9" s="56" t="n">
        <v>5500</v>
      </c>
      <c r="D9" s="56" t="n">
        <v>3000</v>
      </c>
      <c r="E9" s="56" t="n">
        <v>1600</v>
      </c>
      <c r="F9" s="7" t="n">
        <f aca="false">SUM(B9:E9)</f>
        <v>50100</v>
      </c>
      <c r="G9" s="36" t="n">
        <f aca="false">B9/F9</f>
        <v>0.798403193612775</v>
      </c>
      <c r="H9" s="36" t="n">
        <f aca="false">C9/F9</f>
        <v>0.109780439121756</v>
      </c>
      <c r="I9" s="36" t="n">
        <f aca="false">D9/F9</f>
        <v>0.0598802395209581</v>
      </c>
      <c r="J9" s="36" t="n">
        <f aca="false">E9/F9</f>
        <v>0.031936127744511</v>
      </c>
    </row>
    <row r="10" customFormat="false" ht="15" hidden="false" customHeight="false" outlineLevel="0" collapsed="false">
      <c r="A10" s="2" t="s">
        <v>138</v>
      </c>
      <c r="B10" s="57" t="n">
        <v>44000</v>
      </c>
      <c r="C10" s="57" t="n">
        <v>6000</v>
      </c>
      <c r="D10" s="57" t="n">
        <v>3300</v>
      </c>
      <c r="E10" s="57" t="n">
        <v>1700</v>
      </c>
      <c r="F10" s="4" t="n">
        <f aca="false">SUM(B10:E10)</f>
        <v>55000</v>
      </c>
      <c r="G10" s="42" t="n">
        <f aca="false">B10/F10</f>
        <v>0.8</v>
      </c>
      <c r="H10" s="42" t="n">
        <f aca="false">C10/F10</f>
        <v>0.109090909090909</v>
      </c>
      <c r="I10" s="42" t="n">
        <f aca="false">D10/F10</f>
        <v>0.06</v>
      </c>
      <c r="J10" s="42" t="n">
        <f aca="false">E10/F10</f>
        <v>0.0309090909090909</v>
      </c>
    </row>
    <row r="11" customFormat="false" ht="15" hidden="false" customHeight="false" outlineLevel="0" collapsed="false">
      <c r="A11" s="5" t="s">
        <v>139</v>
      </c>
      <c r="B11" s="56" t="n">
        <v>38000</v>
      </c>
      <c r="C11" s="56" t="n">
        <v>5100</v>
      </c>
      <c r="D11" s="56" t="n">
        <v>2800</v>
      </c>
      <c r="E11" s="56" t="n">
        <v>1500</v>
      </c>
      <c r="F11" s="7" t="n">
        <f aca="false">SUM(B11:E11)</f>
        <v>47400</v>
      </c>
      <c r="G11" s="36" t="n">
        <f aca="false">B11/F11</f>
        <v>0.80168776371308</v>
      </c>
      <c r="H11" s="36" t="n">
        <f aca="false">C11/F11</f>
        <v>0.107594936708861</v>
      </c>
      <c r="I11" s="36" t="n">
        <f aca="false">D11/F11</f>
        <v>0.0590717299578059</v>
      </c>
      <c r="J11" s="36" t="n">
        <f aca="false">E11/F11</f>
        <v>0.0316455696202532</v>
      </c>
    </row>
    <row r="12" customFormat="false" ht="15" hidden="false" customHeight="false" outlineLevel="0" collapsed="false">
      <c r="A12" s="2" t="s">
        <v>140</v>
      </c>
      <c r="B12" s="57" t="n">
        <v>42000</v>
      </c>
      <c r="C12" s="57" t="n">
        <v>5600</v>
      </c>
      <c r="D12" s="57" t="n">
        <v>3100</v>
      </c>
      <c r="E12" s="57" t="n">
        <v>1600</v>
      </c>
      <c r="F12" s="4" t="n">
        <f aca="false">SUM(B12:E12)</f>
        <v>52300</v>
      </c>
      <c r="G12" s="42" t="n">
        <f aca="false">B12/F12</f>
        <v>0.803059273422562</v>
      </c>
      <c r="H12" s="42" t="n">
        <f aca="false">C12/F12</f>
        <v>0.107074569789675</v>
      </c>
      <c r="I12" s="42" t="n">
        <f aca="false">D12/F12</f>
        <v>0.0592734225621415</v>
      </c>
      <c r="J12" s="42" t="n">
        <f aca="false">E12/F12</f>
        <v>0.0305927342256214</v>
      </c>
    </row>
    <row r="13" customFormat="false" ht="15" hidden="false" customHeight="false" outlineLevel="0" collapsed="false">
      <c r="A13" s="5" t="s">
        <v>141</v>
      </c>
      <c r="B13" s="56" t="n">
        <v>46000</v>
      </c>
      <c r="C13" s="56" t="n">
        <v>6100</v>
      </c>
      <c r="D13" s="56" t="n">
        <v>3400</v>
      </c>
      <c r="E13" s="56" t="n">
        <v>1800</v>
      </c>
      <c r="F13" s="7" t="n">
        <f aca="false">SUM(B13:E13)</f>
        <v>57300</v>
      </c>
      <c r="G13" s="36" t="n">
        <f aca="false">B13/F13</f>
        <v>0.802792321116928</v>
      </c>
      <c r="H13" s="36" t="n">
        <f aca="false">C13/F13</f>
        <v>0.106457242582897</v>
      </c>
      <c r="I13" s="36" t="n">
        <f aca="false">D13/F13</f>
        <v>0.0593368237347295</v>
      </c>
      <c r="J13" s="36" t="n">
        <f aca="false">E13/F13</f>
        <v>0.031413612565445</v>
      </c>
    </row>
    <row r="14" customFormat="false" ht="15" hidden="false" customHeight="false" outlineLevel="0" collapsed="false">
      <c r="A14" s="2" t="s">
        <v>142</v>
      </c>
      <c r="B14" s="57" t="n">
        <v>50000</v>
      </c>
      <c r="C14" s="57" t="n">
        <v>6600</v>
      </c>
      <c r="D14" s="57" t="n">
        <v>3700</v>
      </c>
      <c r="E14" s="57" t="n">
        <v>1900</v>
      </c>
      <c r="F14" s="4" t="n">
        <f aca="false">SUM(B14:E14)</f>
        <v>62200</v>
      </c>
      <c r="G14" s="42" t="n">
        <f aca="false">B14/F14</f>
        <v>0.803858520900322</v>
      </c>
      <c r="H14" s="42" t="n">
        <f aca="false">C14/F14</f>
        <v>0.106109324758842</v>
      </c>
      <c r="I14" s="42" t="n">
        <f aca="false">D14/F14</f>
        <v>0.0594855305466238</v>
      </c>
      <c r="J14" s="42" t="n">
        <f aca="false">E14/F14</f>
        <v>0.0305466237942122</v>
      </c>
    </row>
    <row r="15" customFormat="false" ht="15" hidden="false" customHeight="false" outlineLevel="0" collapsed="false">
      <c r="A15" s="5" t="s">
        <v>143</v>
      </c>
      <c r="B15" s="56" t="n">
        <v>42000</v>
      </c>
      <c r="C15" s="56" t="n">
        <v>5500</v>
      </c>
      <c r="D15" s="56" t="n">
        <v>3000</v>
      </c>
      <c r="E15" s="56" t="n">
        <v>1600</v>
      </c>
      <c r="F15" s="7" t="n">
        <f aca="false">SUM(B15:E15)</f>
        <v>52100</v>
      </c>
      <c r="G15" s="36" t="n">
        <f aca="false">B15/F15</f>
        <v>0.806142034548944</v>
      </c>
      <c r="H15" s="36" t="n">
        <f aca="false">C15/F15</f>
        <v>0.105566218809981</v>
      </c>
      <c r="I15" s="36" t="n">
        <f aca="false">D15/F15</f>
        <v>0.0575815738963532</v>
      </c>
      <c r="J15" s="36" t="n">
        <f aca="false">E15/F15</f>
        <v>0.0307101727447217</v>
      </c>
    </row>
    <row r="16" customFormat="false" ht="15" hidden="false" customHeight="false" outlineLevel="0" collapsed="false">
      <c r="A16" s="2" t="s">
        <v>144</v>
      </c>
      <c r="B16" s="57" t="n">
        <v>46000</v>
      </c>
      <c r="C16" s="57" t="n">
        <v>6000</v>
      </c>
      <c r="D16" s="57" t="n">
        <v>3300</v>
      </c>
      <c r="E16" s="57" t="n">
        <v>1700</v>
      </c>
      <c r="F16" s="4" t="n">
        <f aca="false">SUM(B16:E16)</f>
        <v>57000</v>
      </c>
      <c r="G16" s="42" t="n">
        <f aca="false">B16/F16</f>
        <v>0.807017543859649</v>
      </c>
      <c r="H16" s="42" t="n">
        <f aca="false">C16/F16</f>
        <v>0.105263157894737</v>
      </c>
      <c r="I16" s="42" t="n">
        <f aca="false">D16/F16</f>
        <v>0.0578947368421053</v>
      </c>
      <c r="J16" s="42" t="n">
        <f aca="false">E16/F16</f>
        <v>0.0298245614035088</v>
      </c>
    </row>
    <row r="17" customFormat="false" ht="15" hidden="false" customHeight="false" outlineLevel="0" collapsed="false">
      <c r="A17" s="5" t="s">
        <v>145</v>
      </c>
      <c r="B17" s="56" t="n">
        <v>48000</v>
      </c>
      <c r="C17" s="56" t="n">
        <v>6300</v>
      </c>
      <c r="D17" s="56" t="n">
        <v>3500</v>
      </c>
      <c r="E17" s="56" t="n">
        <v>1800</v>
      </c>
      <c r="F17" s="7" t="n">
        <f aca="false">SUM(B17:E17)</f>
        <v>59600</v>
      </c>
      <c r="G17" s="36" t="n">
        <f aca="false">B17/F17</f>
        <v>0.805369127516779</v>
      </c>
      <c r="H17" s="36" t="n">
        <f aca="false">C17/F17</f>
        <v>0.105704697986577</v>
      </c>
      <c r="I17" s="36" t="n">
        <f aca="false">D17/F17</f>
        <v>0.0587248322147651</v>
      </c>
      <c r="J17" s="36" t="n">
        <f aca="false">E17/F17</f>
        <v>0.0302013422818792</v>
      </c>
    </row>
    <row r="18" customFormat="false" ht="15" hidden="false" customHeight="false" outlineLevel="0" collapsed="false">
      <c r="A18" s="2" t="s">
        <v>146</v>
      </c>
      <c r="B18" s="57" t="n">
        <v>52000</v>
      </c>
      <c r="C18" s="57" t="n">
        <v>6800</v>
      </c>
      <c r="D18" s="57" t="n">
        <v>3800</v>
      </c>
      <c r="E18" s="57" t="n">
        <v>1900</v>
      </c>
      <c r="F18" s="4" t="n">
        <f aca="false">SUM(B18:E18)</f>
        <v>64500</v>
      </c>
      <c r="G18" s="42" t="n">
        <f aca="false">B18/F18</f>
        <v>0.806201550387597</v>
      </c>
      <c r="H18" s="42" t="n">
        <f aca="false">C18/F18</f>
        <v>0.105426356589147</v>
      </c>
      <c r="I18" s="42" t="n">
        <f aca="false">D18/F18</f>
        <v>0.0589147286821705</v>
      </c>
      <c r="J18" s="42" t="n">
        <f aca="false">E18/F18</f>
        <v>0.0294573643410853</v>
      </c>
    </row>
    <row r="19" customFormat="false" ht="15" hidden="false" customHeight="false" outlineLevel="0" collapsed="false">
      <c r="A19" s="5" t="s">
        <v>147</v>
      </c>
      <c r="B19" s="56" t="n">
        <v>44000</v>
      </c>
      <c r="C19" s="56" t="n">
        <v>5700</v>
      </c>
      <c r="D19" s="56" t="n">
        <v>3100</v>
      </c>
      <c r="E19" s="56" t="n">
        <v>1600</v>
      </c>
      <c r="F19" s="7" t="n">
        <f aca="false">SUM(B19:E19)</f>
        <v>54400</v>
      </c>
      <c r="G19" s="36" t="n">
        <f aca="false">B19/F19</f>
        <v>0.808823529411765</v>
      </c>
      <c r="H19" s="36" t="n">
        <f aca="false">C19/F19</f>
        <v>0.104779411764706</v>
      </c>
      <c r="I19" s="36" t="n">
        <f aca="false">D19/F19</f>
        <v>0.0569852941176471</v>
      </c>
      <c r="J19" s="36" t="n">
        <f aca="false">E19/F19</f>
        <v>0.0294117647058824</v>
      </c>
    </row>
    <row r="20" customFormat="false" ht="15" hidden="false" customHeight="false" outlineLevel="0" collapsed="false">
      <c r="A20" s="2" t="s">
        <v>148</v>
      </c>
      <c r="B20" s="57" t="n">
        <v>48000</v>
      </c>
      <c r="C20" s="57" t="n">
        <v>6200</v>
      </c>
      <c r="D20" s="57" t="n">
        <v>3400</v>
      </c>
      <c r="E20" s="57" t="n">
        <v>1800</v>
      </c>
      <c r="F20" s="4" t="n">
        <f aca="false">SUM(B20:E20)</f>
        <v>59400</v>
      </c>
      <c r="G20" s="42" t="n">
        <f aca="false">B20/F20</f>
        <v>0.808080808080808</v>
      </c>
      <c r="H20" s="42" t="n">
        <f aca="false">C20/F20</f>
        <v>0.104377104377104</v>
      </c>
      <c r="I20" s="42" t="n">
        <f aca="false">D20/F20</f>
        <v>0.0572390572390572</v>
      </c>
      <c r="J20" s="42" t="n">
        <f aca="false">E20/F20</f>
        <v>0.0303030303030303</v>
      </c>
    </row>
    <row r="21" customFormat="false" ht="15" hidden="false" customHeight="false" outlineLevel="0" collapsed="false">
      <c r="A21" s="5" t="s">
        <v>149</v>
      </c>
      <c r="B21" s="56" t="n">
        <v>50000</v>
      </c>
      <c r="C21" s="56" t="n">
        <v>6500</v>
      </c>
      <c r="D21" s="56" t="n">
        <v>3600</v>
      </c>
      <c r="E21" s="56" t="n">
        <v>1900</v>
      </c>
      <c r="F21" s="7" t="n">
        <f aca="false">SUM(B21:E21)</f>
        <v>62000</v>
      </c>
      <c r="G21" s="36" t="n">
        <f aca="false">B21/F21</f>
        <v>0.806451612903226</v>
      </c>
      <c r="H21" s="36" t="n">
        <f aca="false">C21/F21</f>
        <v>0.104838709677419</v>
      </c>
      <c r="I21" s="36" t="n">
        <f aca="false">D21/F21</f>
        <v>0.0580645161290323</v>
      </c>
      <c r="J21" s="36" t="n">
        <f aca="false">E21/F21</f>
        <v>0.0306451612903226</v>
      </c>
    </row>
    <row r="22" customFormat="false" ht="15" hidden="false" customHeight="false" outlineLevel="0" collapsed="false">
      <c r="A22" s="2" t="s">
        <v>150</v>
      </c>
      <c r="B22" s="57" t="n">
        <v>54000</v>
      </c>
      <c r="C22" s="57" t="n">
        <v>7000</v>
      </c>
      <c r="D22" s="57" t="n">
        <v>3900</v>
      </c>
      <c r="E22" s="57" t="n">
        <v>2000</v>
      </c>
      <c r="F22" s="4" t="n">
        <f aca="false">SUM(B22:E22)</f>
        <v>66900</v>
      </c>
      <c r="G22" s="42" t="n">
        <f aca="false">B22/F22</f>
        <v>0.807174887892377</v>
      </c>
      <c r="H22" s="42" t="n">
        <f aca="false">C22/F22</f>
        <v>0.104633781763827</v>
      </c>
      <c r="I22" s="42" t="n">
        <f aca="false">D22/F22</f>
        <v>0.0582959641255605</v>
      </c>
      <c r="J22" s="42" t="n">
        <f aca="false">E22/F22</f>
        <v>0.0298953662182362</v>
      </c>
    </row>
    <row r="23" customFormat="false" ht="15" hidden="false" customHeight="false" outlineLevel="0" collapsed="false">
      <c r="A23" s="5" t="s">
        <v>151</v>
      </c>
      <c r="B23" s="56" t="n">
        <v>46000</v>
      </c>
      <c r="C23" s="56" t="n">
        <v>5900</v>
      </c>
      <c r="D23" s="56" t="n">
        <v>3200</v>
      </c>
      <c r="E23" s="56" t="n">
        <v>1700</v>
      </c>
      <c r="F23" s="7" t="n">
        <f aca="false">SUM(B23:E23)</f>
        <v>56800</v>
      </c>
      <c r="G23" s="36" t="n">
        <f aca="false">B23/F23</f>
        <v>0.809859154929578</v>
      </c>
      <c r="H23" s="36" t="n">
        <f aca="false">C23/F23</f>
        <v>0.10387323943662</v>
      </c>
      <c r="I23" s="36" t="n">
        <f aca="false">D23/F23</f>
        <v>0.0563380281690141</v>
      </c>
      <c r="J23" s="36" t="n">
        <f aca="false">E23/F23</f>
        <v>0.0299295774647887</v>
      </c>
    </row>
    <row r="24" customFormat="false" ht="15" hidden="false" customHeight="false" outlineLevel="0" collapsed="false">
      <c r="A24" s="2" t="s">
        <v>152</v>
      </c>
      <c r="B24" s="57" t="n">
        <v>50000</v>
      </c>
      <c r="C24" s="57" t="n">
        <v>6400</v>
      </c>
      <c r="D24" s="57" t="n">
        <v>3500</v>
      </c>
      <c r="E24" s="57" t="n">
        <v>1900</v>
      </c>
      <c r="F24" s="4" t="n">
        <f aca="false">SUM(B24:E24)</f>
        <v>61800</v>
      </c>
      <c r="G24" s="42" t="n">
        <f aca="false">B24/F24</f>
        <v>0.809061488673139</v>
      </c>
      <c r="H24" s="42" t="n">
        <f aca="false">C24/F24</f>
        <v>0.103559870550162</v>
      </c>
      <c r="I24" s="42" t="n">
        <f aca="false">D24/F24</f>
        <v>0.0566343042071197</v>
      </c>
      <c r="J24" s="42" t="n">
        <f aca="false">E24/F24</f>
        <v>0.0307443365695793</v>
      </c>
    </row>
    <row r="25" customFormat="false" ht="15" hidden="false" customHeight="false" outlineLevel="0" collapsed="false">
      <c r="A25" s="5" t="s">
        <v>153</v>
      </c>
      <c r="B25" s="56" t="n">
        <v>52000</v>
      </c>
      <c r="C25" s="56" t="n">
        <v>6700</v>
      </c>
      <c r="D25" s="56" t="n">
        <v>3700</v>
      </c>
      <c r="E25" s="56" t="n">
        <v>2000</v>
      </c>
      <c r="F25" s="7" t="n">
        <f aca="false">SUM(B25:E25)</f>
        <v>64400</v>
      </c>
      <c r="G25" s="36" t="n">
        <f aca="false">B25/F25</f>
        <v>0.807453416149068</v>
      </c>
      <c r="H25" s="36" t="n">
        <f aca="false">C25/F25</f>
        <v>0.104037267080745</v>
      </c>
      <c r="I25" s="36" t="n">
        <f aca="false">D25/F25</f>
        <v>0.0574534161490683</v>
      </c>
      <c r="J25" s="36" t="n">
        <f aca="false">E25/F25</f>
        <v>0.031055900621118</v>
      </c>
    </row>
    <row r="26" customFormat="false" ht="15" hidden="false" customHeight="false" outlineLevel="0" collapsed="false">
      <c r="A26" s="2" t="s">
        <v>154</v>
      </c>
      <c r="B26" s="57" t="n">
        <v>56000</v>
      </c>
      <c r="C26" s="57" t="n">
        <v>7200</v>
      </c>
      <c r="D26" s="57" t="n">
        <v>4000</v>
      </c>
      <c r="E26" s="57" t="n">
        <v>2100</v>
      </c>
      <c r="F26" s="4" t="n">
        <f aca="false">SUM(B26:E26)</f>
        <v>69300</v>
      </c>
      <c r="G26" s="42" t="n">
        <f aca="false">B26/F26</f>
        <v>0.808080808080808</v>
      </c>
      <c r="H26" s="42" t="n">
        <f aca="false">C26/F26</f>
        <v>0.103896103896104</v>
      </c>
      <c r="I26" s="42" t="n">
        <f aca="false">D26/F26</f>
        <v>0.0577200577200577</v>
      </c>
      <c r="J26" s="42" t="n">
        <f aca="false">E26/F26</f>
        <v>0.0303030303030303</v>
      </c>
    </row>
    <row r="28" customFormat="false" ht="21.75" hidden="false" customHeight="true" outlineLevel="0" collapsed="false">
      <c r="A28" s="10" t="s">
        <v>155</v>
      </c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9.5" hidden="false" customHeight="true" outlineLevel="0" collapsed="false">
      <c r="A29" s="30" t="s">
        <v>156</v>
      </c>
      <c r="B29" s="31" t="s">
        <v>157</v>
      </c>
      <c r="C29" s="31" t="s">
        <v>158</v>
      </c>
      <c r="D29" s="31" t="s">
        <v>159</v>
      </c>
      <c r="E29" s="31" t="s">
        <v>160</v>
      </c>
      <c r="F29" s="31" t="s">
        <v>161</v>
      </c>
    </row>
    <row r="30" customFormat="false" ht="15" hidden="false" customHeight="false" outlineLevel="0" collapsed="false">
      <c r="A30" s="58" t="s">
        <v>162</v>
      </c>
      <c r="B30" s="57" t="n">
        <f aca="false">SUM(B7:B26)</f>
        <v>918000</v>
      </c>
      <c r="C30" s="57" t="n">
        <f aca="false">SUM(C7:C26)</f>
        <v>120600</v>
      </c>
      <c r="D30" s="57" t="n">
        <f aca="false">SUM(D7:D26)</f>
        <v>66400</v>
      </c>
      <c r="E30" s="57" t="n">
        <f aca="false">SUM(E7:E26)</f>
        <v>34800</v>
      </c>
      <c r="F30" s="59" t="n">
        <f aca="false">SUM(F7:F26)</f>
        <v>1139800</v>
      </c>
    </row>
    <row r="31" customFormat="false" ht="15" hidden="false" customHeight="false" outlineLevel="0" collapsed="false">
      <c r="A31" s="60" t="s">
        <v>163</v>
      </c>
      <c r="B31" s="56" t="n">
        <f aca="false">AVERAGE(B7:B26)</f>
        <v>45900</v>
      </c>
      <c r="C31" s="56" t="n">
        <f aca="false">AVERAGE(C7:C26)</f>
        <v>6030</v>
      </c>
      <c r="D31" s="56" t="n">
        <f aca="false">AVERAGE(D7:D26)</f>
        <v>3320</v>
      </c>
      <c r="E31" s="56" t="n">
        <f aca="false">AVERAGE(E7:E26)</f>
        <v>1740</v>
      </c>
      <c r="F31" s="61" t="n">
        <f aca="false">AVERAGE(F7:F26)</f>
        <v>56990</v>
      </c>
    </row>
    <row r="32" customFormat="false" ht="15" hidden="false" customHeight="false" outlineLevel="0" collapsed="false">
      <c r="A32" s="58" t="s">
        <v>164</v>
      </c>
      <c r="B32" s="57" t="n">
        <f aca="false">MAX(B7:B26)</f>
        <v>56000</v>
      </c>
      <c r="C32" s="57" t="n">
        <f aca="false">MAX(C7:C26)</f>
        <v>7200</v>
      </c>
      <c r="D32" s="57" t="n">
        <f aca="false">MAX(D7:D26)</f>
        <v>4000</v>
      </c>
      <c r="E32" s="57" t="n">
        <f aca="false">MAX(E7:E26)</f>
        <v>2100</v>
      </c>
      <c r="F32" s="59" t="n">
        <f aca="false">MAX(F7:F26)</f>
        <v>69300</v>
      </c>
    </row>
    <row r="33" customFormat="false" ht="15" hidden="false" customHeight="false" outlineLevel="0" collapsed="false">
      <c r="A33" s="60" t="s">
        <v>165</v>
      </c>
      <c r="B33" s="56" t="n">
        <f aca="false">MIN(B7:B26)</f>
        <v>32000</v>
      </c>
      <c r="C33" s="56" t="n">
        <f aca="false">MIN(C7:C26)</f>
        <v>4300</v>
      </c>
      <c r="D33" s="56" t="n">
        <f aca="false">MIN(D7:D26)</f>
        <v>2300</v>
      </c>
      <c r="E33" s="56" t="n">
        <f aca="false">MIN(E7:E26)</f>
        <v>1200</v>
      </c>
      <c r="F33" s="61" t="n">
        <f aca="false">MIN(F7:F26)</f>
        <v>39800</v>
      </c>
    </row>
  </sheetData>
  <mergeCells count="4">
    <mergeCell ref="A1:J2"/>
    <mergeCell ref="A3:J3"/>
    <mergeCell ref="A5:J5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3"/>
  </cols>
  <sheetData>
    <row r="1" customFormat="false" ht="27.75" hidden="false" customHeight="true" outlineLevel="0" collapsed="false">
      <c r="A1" s="28" t="s">
        <v>166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customFormat="false" ht="15" hidden="false" customHeight="true" outlineLevel="0" collapsed="false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customFormat="false" ht="15.75" hidden="false" customHeight="true" outlineLevel="0" collapsed="false">
      <c r="A3" s="29" t="s">
        <v>167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5" customFormat="false" ht="21.75" hidden="false" customHeight="true" outlineLevel="0" collapsed="false">
      <c r="A5" s="14" t="s">
        <v>168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15" hidden="false" customHeight="false" outlineLevel="0" collapsed="false">
      <c r="A6" s="58" t="s">
        <v>169</v>
      </c>
      <c r="B6" s="62" t="n">
        <v>0.025</v>
      </c>
      <c r="C6" s="63" t="s">
        <v>170</v>
      </c>
    </row>
    <row r="7" customFormat="false" ht="15" hidden="false" customHeight="false" outlineLevel="0" collapsed="false">
      <c r="A7" s="58" t="s">
        <v>171</v>
      </c>
      <c r="B7" s="62" t="n">
        <v>0.12</v>
      </c>
      <c r="C7" s="63" t="s">
        <v>170</v>
      </c>
    </row>
    <row r="8" customFormat="false" ht="15" hidden="false" customHeight="false" outlineLevel="0" collapsed="false">
      <c r="A8" s="58" t="s">
        <v>172</v>
      </c>
      <c r="B8" s="62" t="n">
        <v>0.035</v>
      </c>
      <c r="C8" s="63" t="s">
        <v>170</v>
      </c>
    </row>
    <row r="9" customFormat="false" ht="15" hidden="false" customHeight="false" outlineLevel="0" collapsed="false">
      <c r="A9" s="58" t="s">
        <v>173</v>
      </c>
      <c r="B9" s="62" t="n">
        <v>0.05</v>
      </c>
      <c r="C9" s="63" t="s">
        <v>170</v>
      </c>
    </row>
    <row r="11" customFormat="false" ht="21.75" hidden="false" customHeight="true" outlineLevel="0" collapsed="false">
      <c r="A11" s="10" t="s">
        <v>174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customFormat="false" ht="31.5" hidden="false" customHeight="true" outlineLevel="0" collapsed="false">
      <c r="A12" s="15" t="s">
        <v>175</v>
      </c>
      <c r="B12" s="15" t="s">
        <v>176</v>
      </c>
      <c r="C12" s="15" t="s">
        <v>177</v>
      </c>
      <c r="D12" s="15" t="s">
        <v>178</v>
      </c>
      <c r="E12" s="15" t="s">
        <v>179</v>
      </c>
      <c r="F12" s="15" t="s">
        <v>180</v>
      </c>
      <c r="G12" s="15" t="s">
        <v>181</v>
      </c>
      <c r="H12" s="15" t="s">
        <v>182</v>
      </c>
      <c r="I12" s="15" t="s">
        <v>183</v>
      </c>
      <c r="J12" s="15" t="s">
        <v>184</v>
      </c>
      <c r="K12" s="15" t="s">
        <v>185</v>
      </c>
    </row>
    <row r="13" customFormat="false" ht="15" hidden="false" customHeight="false" outlineLevel="0" collapsed="false">
      <c r="A13" s="16" t="s">
        <v>7</v>
      </c>
      <c r="B13" s="64" t="n">
        <f aca="false">Raw_Data!G2</f>
        <v>14300</v>
      </c>
      <c r="E13" s="65" t="s">
        <v>186</v>
      </c>
    </row>
    <row r="14" customFormat="false" ht="15" hidden="false" customHeight="false" outlineLevel="0" collapsed="false">
      <c r="A14" s="19" t="s">
        <v>8</v>
      </c>
      <c r="B14" s="66" t="n">
        <f aca="false">Raw_Data!G3</f>
        <v>14050</v>
      </c>
      <c r="E14" s="67" t="s">
        <v>186</v>
      </c>
    </row>
    <row r="15" customFormat="false" ht="15" hidden="false" customHeight="false" outlineLevel="0" collapsed="false">
      <c r="A15" s="16" t="s">
        <v>9</v>
      </c>
      <c r="B15" s="64" t="n">
        <f aca="false">Raw_Data!G4</f>
        <v>14100</v>
      </c>
      <c r="D15" s="68" t="n">
        <f aca="false">AVERAGE(B13:B15)</f>
        <v>14150</v>
      </c>
      <c r="E15" s="65" t="s">
        <v>186</v>
      </c>
    </row>
    <row r="16" customFormat="false" ht="15" hidden="false" customHeight="false" outlineLevel="0" collapsed="false">
      <c r="A16" s="19" t="s">
        <v>10</v>
      </c>
      <c r="B16" s="66" t="n">
        <f aca="false">Raw_Data!G5</f>
        <v>13200</v>
      </c>
      <c r="D16" s="69" t="n">
        <f aca="false">AVERAGE(B14:B16)</f>
        <v>13783.3333333333</v>
      </c>
      <c r="E16" s="67" t="s">
        <v>186</v>
      </c>
    </row>
    <row r="17" customFormat="false" ht="15" hidden="false" customHeight="false" outlineLevel="0" collapsed="false">
      <c r="A17" s="16" t="s">
        <v>11</v>
      </c>
      <c r="B17" s="64" t="n">
        <f aca="false">Raw_Data!G6</f>
        <v>14600</v>
      </c>
      <c r="D17" s="68" t="n">
        <f aca="false">AVERAGE(B15:B17)</f>
        <v>13966.6666666667</v>
      </c>
      <c r="E17" s="65" t="s">
        <v>186</v>
      </c>
    </row>
    <row r="18" customFormat="false" ht="15" hidden="false" customHeight="false" outlineLevel="0" collapsed="false">
      <c r="A18" s="19" t="s">
        <v>12</v>
      </c>
      <c r="B18" s="66" t="n">
        <f aca="false">Raw_Data!G7</f>
        <v>16400</v>
      </c>
      <c r="D18" s="69" t="n">
        <f aca="false">AVERAGE(B16:B18)</f>
        <v>14733.3333333333</v>
      </c>
      <c r="E18" s="67" t="s">
        <v>186</v>
      </c>
    </row>
    <row r="19" customFormat="false" ht="15" hidden="false" customHeight="false" outlineLevel="0" collapsed="false">
      <c r="A19" s="16" t="s">
        <v>13</v>
      </c>
      <c r="B19" s="64" t="n">
        <f aca="false">Raw_Data!G8</f>
        <v>16900</v>
      </c>
      <c r="D19" s="68" t="n">
        <f aca="false">AVERAGE(B17:B19)</f>
        <v>15966.6666666667</v>
      </c>
      <c r="E19" s="65" t="s">
        <v>186</v>
      </c>
    </row>
    <row r="20" customFormat="false" ht="15" hidden="false" customHeight="false" outlineLevel="0" collapsed="false">
      <c r="A20" s="19" t="s">
        <v>14</v>
      </c>
      <c r="B20" s="66" t="n">
        <f aca="false">Raw_Data!G9</f>
        <v>17200</v>
      </c>
      <c r="D20" s="69" t="n">
        <f aca="false">AVERAGE(B18:B20)</f>
        <v>16833.3333333333</v>
      </c>
      <c r="E20" s="67" t="s">
        <v>186</v>
      </c>
    </row>
    <row r="21" customFormat="false" ht="15" hidden="false" customHeight="false" outlineLevel="0" collapsed="false">
      <c r="A21" s="16" t="s">
        <v>15</v>
      </c>
      <c r="B21" s="64" t="n">
        <f aca="false">Raw_Data!G10</f>
        <v>16900</v>
      </c>
      <c r="D21" s="68" t="n">
        <f aca="false">AVERAGE(B19:B21)</f>
        <v>17000</v>
      </c>
      <c r="E21" s="65" t="s">
        <v>186</v>
      </c>
    </row>
    <row r="22" customFormat="false" ht="15" hidden="false" customHeight="false" outlineLevel="0" collapsed="false">
      <c r="A22" s="19" t="s">
        <v>16</v>
      </c>
      <c r="B22" s="66" t="n">
        <f aca="false">Raw_Data!G11</f>
        <v>17200</v>
      </c>
      <c r="D22" s="69" t="n">
        <f aca="false">AVERAGE(B20:B22)</f>
        <v>17100</v>
      </c>
      <c r="E22" s="67" t="s">
        <v>186</v>
      </c>
    </row>
    <row r="23" customFormat="false" ht="15" hidden="false" customHeight="false" outlineLevel="0" collapsed="false">
      <c r="A23" s="16" t="s">
        <v>17</v>
      </c>
      <c r="B23" s="64" t="n">
        <f aca="false">Raw_Data!G12</f>
        <v>16400</v>
      </c>
      <c r="D23" s="68" t="n">
        <f aca="false">AVERAGE(B21:B23)</f>
        <v>16833.3333333333</v>
      </c>
      <c r="E23" s="65" t="s">
        <v>186</v>
      </c>
    </row>
    <row r="24" customFormat="false" ht="15" hidden="false" customHeight="false" outlineLevel="0" collapsed="false">
      <c r="A24" s="19" t="s">
        <v>18</v>
      </c>
      <c r="B24" s="66" t="n">
        <f aca="false">Raw_Data!G13</f>
        <v>20400</v>
      </c>
      <c r="C24" s="70" t="n">
        <f aca="false">AVERAGE(B13:B24)</f>
        <v>15970.8333333333</v>
      </c>
      <c r="D24" s="69" t="n">
        <f aca="false">AVERAGE(B22:B24)</f>
        <v>18000</v>
      </c>
      <c r="E24" s="67" t="s">
        <v>186</v>
      </c>
    </row>
    <row r="25" customFormat="false" ht="15" hidden="false" customHeight="false" outlineLevel="0" collapsed="false">
      <c r="A25" s="16" t="s">
        <v>19</v>
      </c>
      <c r="B25" s="64" t="n">
        <f aca="false">Raw_Data!G14</f>
        <v>16300</v>
      </c>
      <c r="C25" s="71" t="n">
        <f aca="false">AVERAGE(B14:B25)</f>
        <v>16137.5</v>
      </c>
      <c r="D25" s="68" t="n">
        <f aca="false">AVERAGE(B23:B25)</f>
        <v>17700</v>
      </c>
      <c r="E25" s="65" t="s">
        <v>186</v>
      </c>
    </row>
    <row r="26" customFormat="false" ht="15" hidden="false" customHeight="false" outlineLevel="0" collapsed="false">
      <c r="A26" s="19" t="s">
        <v>20</v>
      </c>
      <c r="B26" s="66" t="n">
        <f aca="false">Raw_Data!G15</f>
        <v>15600</v>
      </c>
      <c r="C26" s="70" t="n">
        <f aca="false">AVERAGE(B15:B26)</f>
        <v>16266.6666666667</v>
      </c>
      <c r="D26" s="69" t="n">
        <f aca="false">AVERAGE(B24:B26)</f>
        <v>17433.3333333333</v>
      </c>
      <c r="E26" s="67" t="s">
        <v>186</v>
      </c>
    </row>
    <row r="27" customFormat="false" ht="15" hidden="false" customHeight="false" outlineLevel="0" collapsed="false">
      <c r="A27" s="16" t="s">
        <v>21</v>
      </c>
      <c r="B27" s="64" t="n">
        <f aca="false">Raw_Data!G16</f>
        <v>16200</v>
      </c>
      <c r="C27" s="71" t="n">
        <f aca="false">AVERAGE(B16:B27)</f>
        <v>16441.6666666667</v>
      </c>
      <c r="D27" s="68" t="n">
        <f aca="false">AVERAGE(B25:B27)</f>
        <v>16033.3333333333</v>
      </c>
      <c r="E27" s="65" t="s">
        <v>186</v>
      </c>
    </row>
    <row r="28" customFormat="false" ht="15" hidden="false" customHeight="false" outlineLevel="0" collapsed="false">
      <c r="A28" s="19" t="s">
        <v>22</v>
      </c>
      <c r="B28" s="66" t="n">
        <f aca="false">Raw_Data!G17</f>
        <v>16000</v>
      </c>
      <c r="C28" s="70" t="n">
        <f aca="false">AVERAGE(B17:B28)</f>
        <v>16675</v>
      </c>
      <c r="D28" s="69" t="n">
        <f aca="false">AVERAGE(B26:B28)</f>
        <v>15933.3333333333</v>
      </c>
      <c r="E28" s="67" t="s">
        <v>186</v>
      </c>
    </row>
    <row r="29" customFormat="false" ht="15" hidden="false" customHeight="false" outlineLevel="0" collapsed="false">
      <c r="A29" s="16" t="s">
        <v>23</v>
      </c>
      <c r="B29" s="64" t="n">
        <f aca="false">Raw_Data!G18</f>
        <v>17400</v>
      </c>
      <c r="C29" s="71" t="n">
        <f aca="false">AVERAGE(B18:B29)</f>
        <v>16908.3333333333</v>
      </c>
      <c r="D29" s="68" t="n">
        <f aca="false">AVERAGE(B27:B29)</f>
        <v>16533.3333333333</v>
      </c>
      <c r="E29" s="65" t="s">
        <v>186</v>
      </c>
    </row>
    <row r="30" customFormat="false" ht="15" hidden="false" customHeight="false" outlineLevel="0" collapsed="false">
      <c r="A30" s="19" t="s">
        <v>24</v>
      </c>
      <c r="B30" s="66" t="n">
        <f aca="false">Raw_Data!G19</f>
        <v>17900</v>
      </c>
      <c r="C30" s="70" t="n">
        <f aca="false">AVERAGE(B19:B30)</f>
        <v>17033.3333333333</v>
      </c>
      <c r="D30" s="69" t="n">
        <f aca="false">AVERAGE(B28:B30)</f>
        <v>17100</v>
      </c>
      <c r="E30" s="67" t="s">
        <v>186</v>
      </c>
    </row>
    <row r="31" customFormat="false" ht="15" hidden="false" customHeight="false" outlineLevel="0" collapsed="false">
      <c r="A31" s="16" t="s">
        <v>25</v>
      </c>
      <c r="B31" s="64" t="n">
        <f aca="false">Raw_Data!G20</f>
        <v>18200</v>
      </c>
      <c r="C31" s="71" t="n">
        <f aca="false">AVERAGE(B20:B31)</f>
        <v>17141.6666666667</v>
      </c>
      <c r="D31" s="68" t="n">
        <f aca="false">AVERAGE(B29:B31)</f>
        <v>17833.3333333333</v>
      </c>
      <c r="E31" s="65" t="s">
        <v>186</v>
      </c>
    </row>
    <row r="32" customFormat="false" ht="15" hidden="false" customHeight="false" outlineLevel="0" collapsed="false">
      <c r="A32" s="19" t="s">
        <v>26</v>
      </c>
      <c r="B32" s="66" t="n">
        <f aca="false">Raw_Data!G21</f>
        <v>18400</v>
      </c>
      <c r="C32" s="70" t="n">
        <f aca="false">AVERAGE(B21:B32)</f>
        <v>17241.6666666667</v>
      </c>
      <c r="D32" s="69" t="n">
        <f aca="false">AVERAGE(B30:B32)</f>
        <v>18166.6666666667</v>
      </c>
      <c r="E32" s="67" t="s">
        <v>186</v>
      </c>
    </row>
    <row r="33" customFormat="false" ht="15" hidden="false" customHeight="false" outlineLevel="0" collapsed="false">
      <c r="A33" s="16" t="s">
        <v>27</v>
      </c>
      <c r="B33" s="64" t="n">
        <f aca="false">Raw_Data!G22</f>
        <v>17850</v>
      </c>
      <c r="C33" s="71" t="n">
        <f aca="false">AVERAGE(B22:B33)</f>
        <v>17320.8333333333</v>
      </c>
      <c r="D33" s="68" t="n">
        <f aca="false">AVERAGE(B31:B33)</f>
        <v>18150</v>
      </c>
      <c r="E33" s="65" t="s">
        <v>186</v>
      </c>
    </row>
    <row r="34" customFormat="false" ht="15" hidden="false" customHeight="false" outlineLevel="0" collapsed="false">
      <c r="A34" s="19" t="s">
        <v>28</v>
      </c>
      <c r="B34" s="66" t="n">
        <f aca="false">Raw_Data!G23</f>
        <v>18200</v>
      </c>
      <c r="C34" s="70" t="n">
        <f aca="false">AVERAGE(B23:B34)</f>
        <v>17404.1666666667</v>
      </c>
      <c r="D34" s="69" t="n">
        <f aca="false">AVERAGE(B32:B34)</f>
        <v>18150</v>
      </c>
      <c r="E34" s="67" t="s">
        <v>186</v>
      </c>
    </row>
    <row r="35" customFormat="false" ht="15" hidden="false" customHeight="false" outlineLevel="0" collapsed="false">
      <c r="A35" s="16" t="s">
        <v>29</v>
      </c>
      <c r="B35" s="64" t="n">
        <f aca="false">Raw_Data!G24</f>
        <v>17500</v>
      </c>
      <c r="C35" s="71" t="n">
        <f aca="false">AVERAGE(B24:B35)</f>
        <v>17495.8333333333</v>
      </c>
      <c r="D35" s="68" t="n">
        <f aca="false">AVERAGE(B33:B35)</f>
        <v>17850</v>
      </c>
      <c r="E35" s="65" t="s">
        <v>186</v>
      </c>
    </row>
    <row r="36" customFormat="false" ht="15" hidden="false" customHeight="false" outlineLevel="0" collapsed="false">
      <c r="A36" s="19" t="s">
        <v>30</v>
      </c>
      <c r="B36" s="66" t="n">
        <f aca="false">Raw_Data!G25</f>
        <v>21500</v>
      </c>
      <c r="C36" s="70" t="n">
        <f aca="false">AVERAGE(B25:B36)</f>
        <v>17587.5</v>
      </c>
      <c r="D36" s="69" t="n">
        <f aca="false">AVERAGE(B34:B36)</f>
        <v>19066.6666666667</v>
      </c>
      <c r="E36" s="67" t="s">
        <v>186</v>
      </c>
    </row>
    <row r="37" customFormat="false" ht="15" hidden="false" customHeight="false" outlineLevel="0" collapsed="false">
      <c r="A37" s="16" t="s">
        <v>31</v>
      </c>
      <c r="B37" s="64" t="n">
        <f aca="false">Raw_Data!G26</f>
        <v>18000</v>
      </c>
      <c r="C37" s="71" t="n">
        <f aca="false">AVERAGE(B26:B37)</f>
        <v>17729.1666666667</v>
      </c>
      <c r="D37" s="68" t="n">
        <f aca="false">AVERAGE(B35:B37)</f>
        <v>19000</v>
      </c>
      <c r="E37" s="65" t="s">
        <v>186</v>
      </c>
    </row>
    <row r="38" customFormat="false" ht="15" hidden="false" customHeight="false" outlineLevel="0" collapsed="false">
      <c r="A38" s="19" t="s">
        <v>32</v>
      </c>
      <c r="B38" s="66" t="n">
        <f aca="false">Raw_Data!G27</f>
        <v>17450</v>
      </c>
      <c r="C38" s="70" t="n">
        <f aca="false">AVERAGE(B27:B38)</f>
        <v>17883.3333333333</v>
      </c>
      <c r="D38" s="69" t="n">
        <f aca="false">AVERAGE(B36:B38)</f>
        <v>18983.3333333333</v>
      </c>
      <c r="E38" s="67" t="s">
        <v>186</v>
      </c>
    </row>
    <row r="39" customFormat="false" ht="15" hidden="false" customHeight="false" outlineLevel="0" collapsed="false">
      <c r="A39" s="16" t="s">
        <v>33</v>
      </c>
      <c r="B39" s="64" t="n">
        <f aca="false">Raw_Data!G28</f>
        <v>18200</v>
      </c>
      <c r="C39" s="71" t="n">
        <f aca="false">AVERAGE(B28:B39)</f>
        <v>18050</v>
      </c>
      <c r="D39" s="68" t="n">
        <f aca="false">AVERAGE(B37:B39)</f>
        <v>17883.3333333333</v>
      </c>
      <c r="E39" s="65" t="s">
        <v>186</v>
      </c>
    </row>
    <row r="40" customFormat="false" ht="15" hidden="false" customHeight="false" outlineLevel="0" collapsed="false">
      <c r="A40" s="19" t="s">
        <v>34</v>
      </c>
      <c r="B40" s="66" t="n">
        <f aca="false">Raw_Data!G29</f>
        <v>18000</v>
      </c>
      <c r="C40" s="70" t="n">
        <f aca="false">AVERAGE(B29:B40)</f>
        <v>18216.6666666667</v>
      </c>
      <c r="D40" s="69" t="n">
        <f aca="false">AVERAGE(B38:B40)</f>
        <v>17883.3333333333</v>
      </c>
      <c r="E40" s="67" t="s">
        <v>186</v>
      </c>
    </row>
    <row r="41" customFormat="false" ht="15" hidden="false" customHeight="false" outlineLevel="0" collapsed="false">
      <c r="A41" s="16" t="s">
        <v>35</v>
      </c>
      <c r="B41" s="64" t="n">
        <f aca="false">Raw_Data!G30</f>
        <v>19100</v>
      </c>
      <c r="C41" s="71" t="n">
        <f aca="false">AVERAGE(B30:B41)</f>
        <v>18358.3333333333</v>
      </c>
      <c r="D41" s="68" t="n">
        <f aca="false">AVERAGE(B39:B41)</f>
        <v>18433.3333333333</v>
      </c>
      <c r="E41" s="65" t="s">
        <v>186</v>
      </c>
    </row>
    <row r="42" customFormat="false" ht="15" hidden="false" customHeight="false" outlineLevel="0" collapsed="false">
      <c r="A42" s="19" t="s">
        <v>36</v>
      </c>
      <c r="B42" s="66" t="n">
        <f aca="false">Raw_Data!G31</f>
        <v>19350</v>
      </c>
      <c r="C42" s="70" t="n">
        <f aca="false">AVERAGE(B31:B42)</f>
        <v>18479.1666666667</v>
      </c>
      <c r="D42" s="69" t="n">
        <f aca="false">AVERAGE(B40:B42)</f>
        <v>18816.6666666667</v>
      </c>
      <c r="E42" s="67" t="s">
        <v>186</v>
      </c>
    </row>
    <row r="43" customFormat="false" ht="15" hidden="false" customHeight="false" outlineLevel="0" collapsed="false">
      <c r="A43" s="16" t="s">
        <v>37</v>
      </c>
      <c r="B43" s="64" t="n">
        <f aca="false">Raw_Data!G32</f>
        <v>19700</v>
      </c>
      <c r="C43" s="71" t="n">
        <f aca="false">AVERAGE(B32:B43)</f>
        <v>18604.1666666667</v>
      </c>
      <c r="D43" s="68" t="n">
        <f aca="false">AVERAGE(B41:B43)</f>
        <v>19383.3333333333</v>
      </c>
      <c r="E43" s="65" t="s">
        <v>186</v>
      </c>
    </row>
    <row r="44" customFormat="false" ht="15" hidden="false" customHeight="false" outlineLevel="0" collapsed="false">
      <c r="A44" s="19" t="s">
        <v>38</v>
      </c>
      <c r="B44" s="66" t="n">
        <f aca="false">Raw_Data!G33</f>
        <v>19800</v>
      </c>
      <c r="C44" s="70" t="n">
        <f aca="false">AVERAGE(B33:B44)</f>
        <v>18720.8333333333</v>
      </c>
      <c r="D44" s="69" t="n">
        <f aca="false">AVERAGE(B42:B44)</f>
        <v>19616.6666666667</v>
      </c>
      <c r="E44" s="67" t="s">
        <v>186</v>
      </c>
    </row>
    <row r="45" customFormat="false" ht="15" hidden="false" customHeight="false" outlineLevel="0" collapsed="false">
      <c r="A45" s="16" t="s">
        <v>39</v>
      </c>
      <c r="B45" s="64" t="n">
        <f aca="false">Raw_Data!G34</f>
        <v>19200</v>
      </c>
      <c r="C45" s="71" t="n">
        <f aca="false">AVERAGE(B34:B45)</f>
        <v>18833.3333333333</v>
      </c>
      <c r="D45" s="68" t="n">
        <f aca="false">AVERAGE(B43:B45)</f>
        <v>19566.6666666667</v>
      </c>
      <c r="E45" s="65" t="s">
        <v>186</v>
      </c>
    </row>
    <row r="46" customFormat="false" ht="15" hidden="false" customHeight="false" outlineLevel="0" collapsed="false">
      <c r="A46" s="19" t="s">
        <v>40</v>
      </c>
      <c r="B46" s="66" t="n">
        <f aca="false">Raw_Data!G35</f>
        <v>19400</v>
      </c>
      <c r="C46" s="70" t="n">
        <f aca="false">AVERAGE(B35:B46)</f>
        <v>18933.3333333333</v>
      </c>
      <c r="D46" s="69" t="n">
        <f aca="false">AVERAGE(B44:B46)</f>
        <v>19466.6666666667</v>
      </c>
      <c r="E46" s="67" t="s">
        <v>186</v>
      </c>
    </row>
    <row r="47" customFormat="false" ht="15" hidden="false" customHeight="false" outlineLevel="0" collapsed="false">
      <c r="A47" s="16" t="s">
        <v>41</v>
      </c>
      <c r="B47" s="64" t="n">
        <f aca="false">Raw_Data!G36</f>
        <v>18550</v>
      </c>
      <c r="C47" s="71" t="n">
        <f aca="false">AVERAGE(B36:B47)</f>
        <v>19020.8333333333</v>
      </c>
      <c r="D47" s="68" t="n">
        <f aca="false">AVERAGE(B45:B47)</f>
        <v>19050</v>
      </c>
      <c r="E47" s="65" t="s">
        <v>186</v>
      </c>
    </row>
    <row r="48" customFormat="false" ht="15" hidden="false" customHeight="false" outlineLevel="0" collapsed="false">
      <c r="A48" s="19" t="s">
        <v>42</v>
      </c>
      <c r="B48" s="66" t="n">
        <f aca="false">Raw_Data!G37</f>
        <v>22200</v>
      </c>
      <c r="C48" s="70" t="n">
        <f aca="false">AVERAGE(B37:B48)</f>
        <v>19079.1666666667</v>
      </c>
      <c r="D48" s="69" t="n">
        <f aca="false">AVERAGE(B46:B48)</f>
        <v>20050</v>
      </c>
      <c r="E48" s="67" t="s">
        <v>186</v>
      </c>
    </row>
    <row r="49" customFormat="false" ht="15" hidden="false" customHeight="false" outlineLevel="0" collapsed="false">
      <c r="A49" s="16" t="s">
        <v>43</v>
      </c>
      <c r="B49" s="64" t="n">
        <f aca="false">Raw_Data!G38</f>
        <v>18450</v>
      </c>
      <c r="C49" s="71" t="n">
        <f aca="false">AVERAGE(B38:B49)</f>
        <v>19116.6666666667</v>
      </c>
      <c r="D49" s="68" t="n">
        <f aca="false">AVERAGE(B47:B49)</f>
        <v>19733.3333333333</v>
      </c>
      <c r="E49" s="65" t="s">
        <v>186</v>
      </c>
    </row>
    <row r="50" customFormat="false" ht="15" hidden="false" customHeight="false" outlineLevel="0" collapsed="false">
      <c r="A50" s="19" t="s">
        <v>44</v>
      </c>
      <c r="B50" s="66" t="n">
        <f aca="false">Raw_Data!G39</f>
        <v>17900</v>
      </c>
      <c r="C50" s="70" t="n">
        <f aca="false">AVERAGE(B39:B50)</f>
        <v>19154.1666666667</v>
      </c>
      <c r="D50" s="69" t="n">
        <f aca="false">AVERAGE(B48:B50)</f>
        <v>19516.6666666667</v>
      </c>
      <c r="E50" s="67" t="s">
        <v>186</v>
      </c>
    </row>
    <row r="51" customFormat="false" ht="15" hidden="false" customHeight="false" outlineLevel="0" collapsed="false">
      <c r="A51" s="16" t="s">
        <v>45</v>
      </c>
      <c r="B51" s="64" t="n">
        <f aca="false">Raw_Data!G40</f>
        <v>18650</v>
      </c>
      <c r="C51" s="71" t="n">
        <f aca="false">AVERAGE(B40:B51)</f>
        <v>19191.6666666667</v>
      </c>
      <c r="D51" s="68" t="n">
        <f aca="false">AVERAGE(B49:B51)</f>
        <v>18333.3333333333</v>
      </c>
      <c r="E51" s="65" t="s">
        <v>186</v>
      </c>
    </row>
    <row r="52" customFormat="false" ht="15" hidden="false" customHeight="false" outlineLevel="0" collapsed="false">
      <c r="A52" s="19" t="s">
        <v>46</v>
      </c>
      <c r="B52" s="66" t="n">
        <f aca="false">Raw_Data!G41</f>
        <v>18250</v>
      </c>
      <c r="C52" s="70" t="n">
        <f aca="false">AVERAGE(B41:B52)</f>
        <v>19212.5</v>
      </c>
      <c r="D52" s="69" t="n">
        <f aca="false">AVERAGE(B50:B52)</f>
        <v>18266.6666666667</v>
      </c>
      <c r="E52" s="67" t="s">
        <v>186</v>
      </c>
    </row>
    <row r="53" customFormat="false" ht="15" hidden="false" customHeight="false" outlineLevel="0" collapsed="false">
      <c r="A53" s="16" t="s">
        <v>47</v>
      </c>
      <c r="B53" s="64" t="n">
        <f aca="false">Raw_Data!G42</f>
        <v>19250</v>
      </c>
      <c r="C53" s="71" t="n">
        <f aca="false">AVERAGE(B42:B53)</f>
        <v>19225</v>
      </c>
      <c r="D53" s="68" t="n">
        <f aca="false">AVERAGE(B51:B53)</f>
        <v>18716.6666666667</v>
      </c>
      <c r="E53" s="65" t="s">
        <v>186</v>
      </c>
    </row>
    <row r="54" customFormat="false" ht="15" hidden="false" customHeight="false" outlineLevel="0" collapsed="false">
      <c r="A54" s="19" t="s">
        <v>48</v>
      </c>
      <c r="B54" s="66" t="n">
        <f aca="false">Raw_Data!G43</f>
        <v>19500</v>
      </c>
      <c r="C54" s="70" t="n">
        <f aca="false">AVERAGE(B43:B54)</f>
        <v>19237.5</v>
      </c>
      <c r="D54" s="69" t="n">
        <f aca="false">AVERAGE(B52:B54)</f>
        <v>19000</v>
      </c>
      <c r="E54" s="67" t="s">
        <v>186</v>
      </c>
    </row>
    <row r="55" customFormat="false" ht="15" hidden="false" customHeight="false" outlineLevel="0" collapsed="false">
      <c r="A55" s="16" t="s">
        <v>49</v>
      </c>
      <c r="B55" s="64" t="n">
        <f aca="false">Raw_Data!G44</f>
        <v>19850</v>
      </c>
      <c r="C55" s="71" t="n">
        <f aca="false">AVERAGE(B44:B55)</f>
        <v>19250</v>
      </c>
      <c r="D55" s="68" t="n">
        <f aca="false">AVERAGE(B53:B55)</f>
        <v>19533.3333333333</v>
      </c>
      <c r="E55" s="65" t="s">
        <v>186</v>
      </c>
    </row>
    <row r="56" customFormat="false" ht="15" hidden="false" customHeight="false" outlineLevel="0" collapsed="false">
      <c r="A56" s="19" t="s">
        <v>50</v>
      </c>
      <c r="B56" s="66" t="n">
        <f aca="false">Raw_Data!G45</f>
        <v>19950</v>
      </c>
      <c r="C56" s="70" t="n">
        <f aca="false">AVERAGE(B45:B56)</f>
        <v>19262.5</v>
      </c>
      <c r="D56" s="69" t="n">
        <f aca="false">AVERAGE(B54:B56)</f>
        <v>19766.6666666667</v>
      </c>
      <c r="E56" s="67" t="s">
        <v>186</v>
      </c>
    </row>
    <row r="57" customFormat="false" ht="15" hidden="false" customHeight="false" outlineLevel="0" collapsed="false">
      <c r="A57" s="16" t="s">
        <v>51</v>
      </c>
      <c r="B57" s="64" t="n">
        <f aca="false">Raw_Data!G46</f>
        <v>19450</v>
      </c>
      <c r="C57" s="71" t="n">
        <f aca="false">AVERAGE(B46:B57)</f>
        <v>19283.3333333333</v>
      </c>
      <c r="D57" s="68" t="n">
        <f aca="false">AVERAGE(B55:B57)</f>
        <v>19750</v>
      </c>
      <c r="E57" s="65" t="s">
        <v>186</v>
      </c>
    </row>
    <row r="58" customFormat="false" ht="15" hidden="false" customHeight="false" outlineLevel="0" collapsed="false">
      <c r="A58" s="19" t="s">
        <v>52</v>
      </c>
      <c r="B58" s="66" t="n">
        <f aca="false">Raw_Data!G47</f>
        <v>19650</v>
      </c>
      <c r="C58" s="70" t="n">
        <f aca="false">AVERAGE(B47:B58)</f>
        <v>19304.1666666667</v>
      </c>
      <c r="D58" s="69" t="n">
        <f aca="false">AVERAGE(B56:B58)</f>
        <v>19683.3333333333</v>
      </c>
      <c r="E58" s="67" t="s">
        <v>186</v>
      </c>
    </row>
    <row r="59" customFormat="false" ht="15" hidden="false" customHeight="false" outlineLevel="0" collapsed="false">
      <c r="A59" s="16" t="s">
        <v>53</v>
      </c>
      <c r="B59" s="64" t="n">
        <f aca="false">Raw_Data!G48</f>
        <v>18650</v>
      </c>
      <c r="C59" s="71" t="n">
        <f aca="false">AVERAGE(B48:B59)</f>
        <v>19312.5</v>
      </c>
      <c r="D59" s="68" t="n">
        <f aca="false">AVERAGE(B57:B59)</f>
        <v>19250</v>
      </c>
      <c r="E59" s="65" t="s">
        <v>186</v>
      </c>
    </row>
    <row r="60" customFormat="false" ht="15" hidden="false" customHeight="false" outlineLevel="0" collapsed="false">
      <c r="A60" s="19" t="s">
        <v>54</v>
      </c>
      <c r="B60" s="66" t="n">
        <f aca="false">Raw_Data!G49</f>
        <v>22350</v>
      </c>
      <c r="C60" s="70" t="n">
        <f aca="false">AVERAGE(B49:B60)</f>
        <v>19325</v>
      </c>
      <c r="D60" s="69" t="n">
        <f aca="false">AVERAGE(B58:B60)</f>
        <v>20216.6666666667</v>
      </c>
      <c r="E60" s="67" t="s">
        <v>186</v>
      </c>
    </row>
    <row r="61" customFormat="false" ht="15" hidden="false" customHeight="false" outlineLevel="0" collapsed="false">
      <c r="A61" s="16" t="s">
        <v>55</v>
      </c>
      <c r="B61" s="64" t="n">
        <f aca="false">Raw_Data!G50</f>
        <v>18700</v>
      </c>
      <c r="C61" s="71" t="n">
        <f aca="false">AVERAGE(B50:B61)</f>
        <v>19345.8333333333</v>
      </c>
      <c r="D61" s="68" t="n">
        <f aca="false">AVERAGE(B59:B61)</f>
        <v>19900</v>
      </c>
      <c r="E61" s="65" t="s">
        <v>186</v>
      </c>
    </row>
    <row r="62" customFormat="false" ht="15" hidden="false" customHeight="false" outlineLevel="0" collapsed="false">
      <c r="A62" s="19" t="s">
        <v>56</v>
      </c>
      <c r="B62" s="66" t="n">
        <f aca="false">Raw_Data!G51</f>
        <v>18150</v>
      </c>
      <c r="C62" s="70" t="n">
        <f aca="false">AVERAGE(B51:B62)</f>
        <v>19366.6666666667</v>
      </c>
      <c r="D62" s="69" t="n">
        <f aca="false">AVERAGE(B60:B62)</f>
        <v>19733.3333333333</v>
      </c>
      <c r="E62" s="67" t="s">
        <v>186</v>
      </c>
    </row>
    <row r="63" customFormat="false" ht="15" hidden="false" customHeight="false" outlineLevel="0" collapsed="false">
      <c r="A63" s="16" t="s">
        <v>57</v>
      </c>
      <c r="B63" s="64" t="n">
        <f aca="false">Raw_Data!G52</f>
        <v>19000</v>
      </c>
      <c r="C63" s="71" t="n">
        <f aca="false">AVERAGE(B52:B63)</f>
        <v>19395.8333333333</v>
      </c>
      <c r="D63" s="68" t="n">
        <f aca="false">AVERAGE(B61:B63)</f>
        <v>18616.6666666667</v>
      </c>
      <c r="E63" s="65" t="s">
        <v>186</v>
      </c>
    </row>
    <row r="64" customFormat="false" ht="15" hidden="false" customHeight="false" outlineLevel="0" collapsed="false">
      <c r="A64" s="19" t="s">
        <v>58</v>
      </c>
      <c r="B64" s="66" t="n">
        <f aca="false">Raw_Data!G53</f>
        <v>18600</v>
      </c>
      <c r="C64" s="70" t="n">
        <f aca="false">AVERAGE(B53:B64)</f>
        <v>19425</v>
      </c>
      <c r="D64" s="69" t="n">
        <f aca="false">AVERAGE(B62:B64)</f>
        <v>18583.3333333333</v>
      </c>
      <c r="E64" s="67" t="s">
        <v>186</v>
      </c>
    </row>
    <row r="65" customFormat="false" ht="15" hidden="false" customHeight="false" outlineLevel="0" collapsed="false">
      <c r="A65" s="16" t="s">
        <v>59</v>
      </c>
      <c r="B65" s="64" t="n">
        <f aca="false">Raw_Data!G54</f>
        <v>19600</v>
      </c>
      <c r="C65" s="71" t="n">
        <f aca="false">AVERAGE(B54:B65)</f>
        <v>19454.1666666667</v>
      </c>
      <c r="D65" s="68" t="n">
        <f aca="false">AVERAGE(B63:B65)</f>
        <v>19066.6666666667</v>
      </c>
      <c r="E65" s="65" t="s">
        <v>186</v>
      </c>
    </row>
    <row r="66" customFormat="false" ht="15" hidden="false" customHeight="false" outlineLevel="0" collapsed="false">
      <c r="A66" s="19" t="s">
        <v>60</v>
      </c>
      <c r="B66" s="66" t="n">
        <f aca="false">Raw_Data!G55</f>
        <v>19950</v>
      </c>
      <c r="C66" s="70" t="n">
        <f aca="false">AVERAGE(B55:B66)</f>
        <v>19491.6666666667</v>
      </c>
      <c r="D66" s="69" t="n">
        <f aca="false">AVERAGE(B64:B66)</f>
        <v>19383.3333333333</v>
      </c>
      <c r="E66" s="67" t="s">
        <v>186</v>
      </c>
    </row>
    <row r="67" customFormat="false" ht="15" hidden="false" customHeight="false" outlineLevel="0" collapsed="false">
      <c r="A67" s="16" t="s">
        <v>61</v>
      </c>
      <c r="B67" s="64" t="n">
        <f aca="false">Raw_Data!G56</f>
        <v>20300</v>
      </c>
      <c r="C67" s="71" t="n">
        <f aca="false">AVERAGE(B56:B67)</f>
        <v>19529.1666666667</v>
      </c>
      <c r="D67" s="68" t="n">
        <f aca="false">AVERAGE(B65:B67)</f>
        <v>19950</v>
      </c>
      <c r="E67" s="65" t="s">
        <v>186</v>
      </c>
    </row>
    <row r="68" customFormat="false" ht="15" hidden="false" customHeight="false" outlineLevel="0" collapsed="false">
      <c r="A68" s="19" t="s">
        <v>62</v>
      </c>
      <c r="B68" s="66" t="n">
        <f aca="false">Raw_Data!G57</f>
        <v>20400</v>
      </c>
      <c r="C68" s="70" t="n">
        <f aca="false">AVERAGE(B57:B68)</f>
        <v>19566.6666666667</v>
      </c>
      <c r="D68" s="69" t="n">
        <f aca="false">AVERAGE(B66:B68)</f>
        <v>20216.6666666667</v>
      </c>
      <c r="E68" s="67" t="s">
        <v>186</v>
      </c>
    </row>
    <row r="69" customFormat="false" ht="15" hidden="false" customHeight="false" outlineLevel="0" collapsed="false">
      <c r="A69" s="16" t="s">
        <v>63</v>
      </c>
      <c r="B69" s="64" t="n">
        <f aca="false">Raw_Data!G58</f>
        <v>19900</v>
      </c>
      <c r="C69" s="71" t="n">
        <f aca="false">AVERAGE(B58:B69)</f>
        <v>19604.1666666667</v>
      </c>
      <c r="D69" s="68" t="n">
        <f aca="false">AVERAGE(B67:B69)</f>
        <v>20200</v>
      </c>
      <c r="E69" s="65" t="s">
        <v>186</v>
      </c>
    </row>
    <row r="70" customFormat="false" ht="15" hidden="false" customHeight="false" outlineLevel="0" collapsed="false">
      <c r="A70" s="19" t="s">
        <v>64</v>
      </c>
      <c r="B70" s="66" t="n">
        <f aca="false">Raw_Data!G59</f>
        <v>20100</v>
      </c>
      <c r="C70" s="70" t="n">
        <f aca="false">AVERAGE(B59:B70)</f>
        <v>19641.6666666667</v>
      </c>
      <c r="D70" s="69" t="n">
        <f aca="false">AVERAGE(B68:B70)</f>
        <v>20133.3333333333</v>
      </c>
      <c r="E70" s="67" t="s">
        <v>186</v>
      </c>
    </row>
    <row r="71" customFormat="false" ht="15" hidden="false" customHeight="false" outlineLevel="0" collapsed="false">
      <c r="A71" s="16" t="s">
        <v>65</v>
      </c>
      <c r="B71" s="64" t="n">
        <f aca="false">Raw_Data!G60</f>
        <v>19050</v>
      </c>
      <c r="C71" s="71" t="n">
        <f aca="false">AVERAGE(B60:B71)</f>
        <v>19675</v>
      </c>
      <c r="D71" s="68" t="n">
        <f aca="false">AVERAGE(B69:B71)</f>
        <v>19683.3333333333</v>
      </c>
      <c r="E71" s="65" t="s">
        <v>186</v>
      </c>
    </row>
    <row r="72" customFormat="false" ht="15" hidden="false" customHeight="false" outlineLevel="0" collapsed="false">
      <c r="A72" s="19" t="s">
        <v>66</v>
      </c>
      <c r="B72" s="66" t="n">
        <f aca="false">Raw_Data!G61</f>
        <v>22800</v>
      </c>
      <c r="C72" s="70" t="n">
        <f aca="false">AVERAGE(B61:B72)</f>
        <v>19712.5</v>
      </c>
      <c r="D72" s="69" t="n">
        <f aca="false">AVERAGE(B70:B72)</f>
        <v>20650</v>
      </c>
      <c r="E72" s="67" t="s">
        <v>186</v>
      </c>
    </row>
    <row r="74" customFormat="false" ht="15" hidden="false" customHeight="false" outlineLevel="0" collapsed="false">
      <c r="A74" s="72" t="s">
        <v>187</v>
      </c>
      <c r="B74" s="73"/>
      <c r="C74" s="74" t="n">
        <f aca="false">AVERAGE(B62:B73)</f>
        <v>19804.5454545455</v>
      </c>
      <c r="E74" s="72" t="s">
        <v>188</v>
      </c>
      <c r="F74" s="75" t="n">
        <f aca="false">B62*(1+$B$6)</f>
        <v>18603.75</v>
      </c>
      <c r="G74" s="76" t="n">
        <f aca="false">F74*(1+$B$8)</f>
        <v>19254.88125</v>
      </c>
      <c r="H74" s="77" t="n">
        <f aca="false">(G74-B62)/B62</f>
        <v>0.0608749999999999</v>
      </c>
      <c r="I74" s="78" t="s">
        <v>189</v>
      </c>
      <c r="J74" s="79" t="n">
        <f aca="false">G74*1.05</f>
        <v>20217.6253125</v>
      </c>
      <c r="K74" s="80" t="n">
        <f aca="false">G74*0.95</f>
        <v>18292.1371875</v>
      </c>
    </row>
    <row r="75" customFormat="false" ht="15" hidden="false" customHeight="false" outlineLevel="0" collapsed="false">
      <c r="A75" s="72" t="s">
        <v>190</v>
      </c>
      <c r="B75" s="73"/>
      <c r="C75" s="74" t="n">
        <f aca="false">AVERAGE(B63:B74)</f>
        <v>19970</v>
      </c>
      <c r="E75" s="72" t="s">
        <v>188</v>
      </c>
      <c r="F75" s="75" t="n">
        <f aca="false">B63*(1+$B$6)</f>
        <v>19475</v>
      </c>
      <c r="G75" s="76" t="n">
        <f aca="false">F75*(1+$B$8)</f>
        <v>20156.625</v>
      </c>
      <c r="H75" s="77" t="n">
        <f aca="false">(G75-B63)/B63</f>
        <v>0.060875</v>
      </c>
      <c r="I75" s="78" t="s">
        <v>189</v>
      </c>
      <c r="J75" s="79" t="n">
        <f aca="false">G75*1.05</f>
        <v>21164.45625</v>
      </c>
      <c r="K75" s="80" t="n">
        <f aca="false">G75*0.95</f>
        <v>19148.79375</v>
      </c>
    </row>
    <row r="76" customFormat="false" ht="15" hidden="false" customHeight="false" outlineLevel="0" collapsed="false">
      <c r="A76" s="72" t="s">
        <v>191</v>
      </c>
      <c r="B76" s="73"/>
      <c r="C76" s="74" t="n">
        <f aca="false">AVERAGE(B64:B75)</f>
        <v>20077.7777777778</v>
      </c>
      <c r="E76" s="72" t="s">
        <v>188</v>
      </c>
      <c r="F76" s="75" t="n">
        <f aca="false">B64*(1+$B$6)</f>
        <v>19065</v>
      </c>
      <c r="G76" s="76" t="n">
        <f aca="false">F76*(1+$B$8)</f>
        <v>19732.275</v>
      </c>
      <c r="H76" s="77" t="n">
        <f aca="false">(G76-B64)/B64</f>
        <v>0.0608749999999999</v>
      </c>
      <c r="I76" s="78" t="s">
        <v>189</v>
      </c>
      <c r="J76" s="79" t="n">
        <f aca="false">G76*1.05</f>
        <v>20718.88875</v>
      </c>
      <c r="K76" s="80" t="n">
        <f aca="false">G76*0.95</f>
        <v>18745.66125</v>
      </c>
    </row>
  </sheetData>
  <mergeCells count="4">
    <mergeCell ref="A1:K2"/>
    <mergeCell ref="A3:K3"/>
    <mergeCell ref="A5:K5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7.75" hidden="false" customHeight="true" outlineLevel="0" collapsed="false">
      <c r="A1" s="81" t="s">
        <v>192</v>
      </c>
      <c r="B1" s="81"/>
      <c r="C1" s="81"/>
      <c r="D1" s="81"/>
      <c r="E1" s="81"/>
      <c r="F1" s="81"/>
    </row>
    <row r="2" customFormat="false" ht="15" hidden="false" customHeight="true" outlineLevel="0" collapsed="false">
      <c r="A2" s="81"/>
      <c r="B2" s="81"/>
      <c r="C2" s="81"/>
      <c r="D2" s="81"/>
      <c r="E2" s="81"/>
      <c r="F2" s="81"/>
    </row>
    <row r="4" customFormat="false" ht="19.5" hidden="false" customHeight="true" outlineLevel="0" collapsed="false">
      <c r="A4" s="82" t="s">
        <v>193</v>
      </c>
      <c r="B4" s="82"/>
      <c r="C4" s="82"/>
      <c r="D4" s="82"/>
      <c r="E4" s="82"/>
      <c r="F4" s="82"/>
    </row>
    <row r="5" customFormat="false" ht="15" hidden="false" customHeight="true" outlineLevel="0" collapsed="false">
      <c r="A5" s="83" t="s">
        <v>194</v>
      </c>
    </row>
    <row r="6" customFormat="false" ht="15" hidden="false" customHeight="true" outlineLevel="0" collapsed="false">
      <c r="A6" s="83" t="s">
        <v>195</v>
      </c>
    </row>
    <row r="7" customFormat="false" ht="15" hidden="false" customHeight="true" outlineLevel="0" collapsed="false">
      <c r="A7" s="83" t="s">
        <v>196</v>
      </c>
    </row>
    <row r="8" customFormat="false" ht="15" hidden="false" customHeight="true" outlineLevel="0" collapsed="false">
      <c r="A8" s="83" t="s">
        <v>197</v>
      </c>
    </row>
    <row r="9" customFormat="false" ht="7.5" hidden="false" customHeight="true" outlineLevel="0" collapsed="false"/>
    <row r="10" customFormat="false" ht="19.5" hidden="false" customHeight="true" outlineLevel="0" collapsed="false">
      <c r="A10" s="82" t="s">
        <v>198</v>
      </c>
      <c r="B10" s="82"/>
      <c r="C10" s="82"/>
      <c r="D10" s="82"/>
      <c r="E10" s="82"/>
      <c r="F10" s="82"/>
    </row>
    <row r="11" customFormat="false" ht="15" hidden="false" customHeight="true" outlineLevel="0" collapsed="false">
      <c r="A11" s="83" t="s">
        <v>199</v>
      </c>
    </row>
    <row r="12" customFormat="false" ht="15" hidden="false" customHeight="true" outlineLevel="0" collapsed="false">
      <c r="A12" s="83" t="s">
        <v>200</v>
      </c>
    </row>
    <row r="13" customFormat="false" ht="7.5" hidden="false" customHeight="true" outlineLevel="0" collapsed="false"/>
    <row r="14" customFormat="false" ht="19.5" hidden="false" customHeight="true" outlineLevel="0" collapsed="false">
      <c r="A14" s="82" t="s">
        <v>201</v>
      </c>
      <c r="B14" s="82"/>
      <c r="C14" s="82"/>
      <c r="D14" s="82"/>
      <c r="E14" s="82"/>
      <c r="F14" s="82"/>
    </row>
    <row r="15" customFormat="false" ht="15" hidden="false" customHeight="true" outlineLevel="0" collapsed="false">
      <c r="A15" s="83" t="s">
        <v>202</v>
      </c>
    </row>
    <row r="16" customFormat="false" ht="15" hidden="false" customHeight="true" outlineLevel="0" collapsed="false">
      <c r="A16" s="83" t="s">
        <v>203</v>
      </c>
    </row>
    <row r="17" customFormat="false" ht="15" hidden="false" customHeight="true" outlineLevel="0" collapsed="false">
      <c r="A17" s="83" t="s">
        <v>204</v>
      </c>
    </row>
    <row r="18" customFormat="false" ht="15" hidden="false" customHeight="true" outlineLevel="0" collapsed="false">
      <c r="A18" s="83" t="s">
        <v>205</v>
      </c>
    </row>
    <row r="19" customFormat="false" ht="7.5" hidden="false" customHeight="true" outlineLevel="0" collapsed="false"/>
    <row r="20" customFormat="false" ht="19.5" hidden="false" customHeight="true" outlineLevel="0" collapsed="false">
      <c r="A20" s="82" t="s">
        <v>206</v>
      </c>
      <c r="B20" s="82"/>
      <c r="C20" s="82"/>
      <c r="D20" s="82"/>
      <c r="E20" s="82"/>
      <c r="F20" s="82"/>
    </row>
    <row r="21" customFormat="false" ht="15" hidden="false" customHeight="true" outlineLevel="0" collapsed="false">
      <c r="A21" s="83" t="s">
        <v>207</v>
      </c>
    </row>
    <row r="22" customFormat="false" ht="15" hidden="false" customHeight="true" outlineLevel="0" collapsed="false">
      <c r="A22" s="83" t="s">
        <v>208</v>
      </c>
    </row>
    <row r="23" customFormat="false" ht="15" hidden="false" customHeight="true" outlineLevel="0" collapsed="false">
      <c r="A23" s="83" t="s">
        <v>209</v>
      </c>
    </row>
    <row r="24" customFormat="false" ht="15" hidden="false" customHeight="true" outlineLevel="0" collapsed="false">
      <c r="A24" s="83" t="s">
        <v>210</v>
      </c>
    </row>
    <row r="25" customFormat="false" ht="7.5" hidden="false" customHeight="true" outlineLevel="0" collapsed="false"/>
    <row r="26" customFormat="false" ht="19.5" hidden="false" customHeight="true" outlineLevel="0" collapsed="false">
      <c r="A26" s="82" t="s">
        <v>211</v>
      </c>
      <c r="B26" s="82"/>
      <c r="C26" s="82"/>
      <c r="D26" s="82"/>
      <c r="E26" s="82"/>
      <c r="F26" s="82"/>
    </row>
    <row r="27" customFormat="false" ht="15" hidden="false" customHeight="true" outlineLevel="0" collapsed="false">
      <c r="A27" s="83" t="s">
        <v>212</v>
      </c>
    </row>
    <row r="28" customFormat="false" ht="15" hidden="false" customHeight="true" outlineLevel="0" collapsed="false">
      <c r="A28" s="83" t="s">
        <v>213</v>
      </c>
    </row>
    <row r="29" customFormat="false" ht="15" hidden="false" customHeight="true" outlineLevel="0" collapsed="false">
      <c r="A29" s="83" t="s">
        <v>214</v>
      </c>
    </row>
    <row r="30" customFormat="false" ht="7.5" hidden="false" customHeight="true" outlineLevel="0" collapsed="false"/>
    <row r="31" customFormat="false" ht="19.5" hidden="false" customHeight="true" outlineLevel="0" collapsed="false">
      <c r="A31" s="82" t="s">
        <v>215</v>
      </c>
      <c r="B31" s="82"/>
      <c r="C31" s="82"/>
      <c r="D31" s="82"/>
      <c r="E31" s="82"/>
      <c r="F31" s="82"/>
    </row>
    <row r="32" customFormat="false" ht="15" hidden="false" customHeight="true" outlineLevel="0" collapsed="false">
      <c r="A32" s="83" t="s">
        <v>216</v>
      </c>
    </row>
    <row r="33" customFormat="false" ht="15" hidden="false" customHeight="true" outlineLevel="0" collapsed="false">
      <c r="A33" s="83" t="s">
        <v>217</v>
      </c>
    </row>
    <row r="34" customFormat="false" ht="15" hidden="false" customHeight="true" outlineLevel="0" collapsed="false">
      <c r="A34" s="83" t="s">
        <v>218</v>
      </c>
    </row>
    <row r="35" customFormat="false" ht="15" hidden="false" customHeight="true" outlineLevel="0" collapsed="false">
      <c r="A35" s="83" t="s">
        <v>219</v>
      </c>
    </row>
    <row r="36" customFormat="false" ht="7.5" hidden="false" customHeight="true" outlineLevel="0" collapsed="false"/>
    <row r="37" customFormat="false" ht="19.5" hidden="false" customHeight="true" outlineLevel="0" collapsed="false">
      <c r="A37" s="84" t="s">
        <v>220</v>
      </c>
      <c r="B37" s="84"/>
      <c r="C37" s="84"/>
      <c r="D37" s="84"/>
      <c r="E37" s="84"/>
      <c r="F37" s="84"/>
    </row>
    <row r="38" customFormat="false" ht="15" hidden="false" customHeight="true" outlineLevel="0" collapsed="false">
      <c r="A38" s="83" t="s">
        <v>221</v>
      </c>
    </row>
    <row r="39" customFormat="false" ht="15" hidden="false" customHeight="true" outlineLevel="0" collapsed="false">
      <c r="A39" s="83" t="s">
        <v>222</v>
      </c>
    </row>
    <row r="40" customFormat="false" ht="15" hidden="false" customHeight="true" outlineLevel="0" collapsed="false">
      <c r="A40" s="83" t="s">
        <v>223</v>
      </c>
    </row>
    <row r="41" customFormat="false" ht="15" hidden="false" customHeight="true" outlineLevel="0" collapsed="false">
      <c r="A41" s="83" t="s">
        <v>224</v>
      </c>
    </row>
    <row r="42" customFormat="false" ht="15" hidden="false" customHeight="true" outlineLevel="0" collapsed="false">
      <c r="A42" s="83" t="s">
        <v>225</v>
      </c>
    </row>
    <row r="43" customFormat="false" ht="15" hidden="false" customHeight="true" outlineLevel="0" collapsed="false">
      <c r="A43" s="83" t="s">
        <v>226</v>
      </c>
    </row>
    <row r="44" customFormat="false" ht="7.5" hidden="false" customHeight="true" outlineLevel="0" collapsed="false"/>
    <row r="45" customFormat="false" ht="19.5" hidden="false" customHeight="true" outlineLevel="0" collapsed="false">
      <c r="A45" s="82" t="s">
        <v>227</v>
      </c>
      <c r="B45" s="82"/>
      <c r="C45" s="82"/>
      <c r="D45" s="82"/>
      <c r="E45" s="82"/>
      <c r="F45" s="82"/>
    </row>
    <row r="46" customFormat="false" ht="15" hidden="false" customHeight="true" outlineLevel="0" collapsed="false">
      <c r="A46" s="83" t="s">
        <v>228</v>
      </c>
    </row>
    <row r="47" customFormat="false" ht="15" hidden="false" customHeight="true" outlineLevel="0" collapsed="false">
      <c r="A47" s="83" t="s">
        <v>229</v>
      </c>
    </row>
    <row r="48" customFormat="false" ht="15" hidden="false" customHeight="true" outlineLevel="0" collapsed="false">
      <c r="A48" s="83" t="s">
        <v>230</v>
      </c>
    </row>
    <row r="49" customFormat="false" ht="15" hidden="false" customHeight="true" outlineLevel="0" collapsed="false">
      <c r="A49" s="83" t="s">
        <v>231</v>
      </c>
    </row>
    <row r="50" customFormat="false" ht="15" hidden="false" customHeight="true" outlineLevel="0" collapsed="false">
      <c r="A50" s="83" t="s">
        <v>232</v>
      </c>
    </row>
  </sheetData>
  <mergeCells count="9">
    <mergeCell ref="A1:F2"/>
    <mergeCell ref="A4:F4"/>
    <mergeCell ref="A10:F10"/>
    <mergeCell ref="A14:F14"/>
    <mergeCell ref="A20:F20"/>
    <mergeCell ref="A26:F26"/>
    <mergeCell ref="A31:F31"/>
    <mergeCell ref="A37:F37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2026-05-19T23:27:27Z</dcterms:created>
  <dc:creator>openpyxl</dc:creator>
  <dc:description/>
  <dc:language>en-US</dc:language>
  <cp:lastModifiedBy/>
  <dcterms:modified xsi:type="dcterms:W3CDTF">2026-05-19T23:27:27Z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